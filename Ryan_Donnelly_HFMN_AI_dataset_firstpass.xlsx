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c6484f4ec46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97492ce54144f4"/>
    <x:sheet xmlns:r="http://schemas.openxmlformats.org/officeDocument/2006/relationships" name="Study_Index" sheetId="2" r:id="Rdbb7131995be4e1f"/>
    <x:sheet xmlns:r="http://schemas.openxmlformats.org/officeDocument/2006/relationships" name="Extracted_Data" sheetId="3" r:id="R187c11e594b74d20"/>
    <x:sheet xmlns:r="http://schemas.openxmlformats.org/officeDocument/2006/relationships" name="Data_Dictionary" sheetId="4" r:id="Ra2efcae1c9ab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49c918aa4458c" /><Relationship Type="http://schemas.openxmlformats.org/officeDocument/2006/relationships/theme" Target="/xl/theme/theme1.xml" Id="R4e690d462f484483" /><Relationship Type="http://schemas.openxmlformats.org/officeDocument/2006/relationships/sharedStrings" Target="/xl/sharedStrings.xml" Id="R61b05190cc6f4153" /><Relationship Type="http://schemas.openxmlformats.org/officeDocument/2006/relationships/worksheet" Target="/xl/worksheets/sheet1.xml" Id="R4197492ce54144f4" /><Relationship Type="http://schemas.openxmlformats.org/officeDocument/2006/relationships/worksheet" Target="/xl/worksheets/sheet2.xml" Id="Rdbb7131995be4e1f" /><Relationship Type="http://schemas.openxmlformats.org/officeDocument/2006/relationships/worksheet" Target="/xl/worksheets/sheet3.xml" Id="R187c11e594b74d20" /><Relationship Type="http://schemas.openxmlformats.org/officeDocument/2006/relationships/worksheet" Target="/xl/worksheets/sheet4.xml" Id="Ra2efcae1c9ab4c5c" /></Relationships>
</file>

<file path=xl/tables/table1.xml><?xml version="1.0" encoding="utf-8"?>
<x:table xmlns:x="http://schemas.openxmlformats.org/spreadsheetml/2006/main" id="1" name="StudyIndexTable" displayName="StudyIndexTable" ref="A1:J13" headerRowCount="1">
  <x:tableColumns count="10">
    <x:tableColumn id="1" name="study_id"/>
    <x:tableColumn id="2" name="year"/>
    <x:tableColumn id="3" name="paper_title"/>
    <x:tableColumn id="4" name="Donnelly_role"/>
    <x:tableColumn id="5" name="system_type"/>
    <x:tableColumn id="6" name="drug_or_application"/>
    <x:tableColumn id="7" name="main_polymer_system"/>
    <x:tableColumn id="8" name="key_data_extracted"/>
    <x:tableColumn id="9" name="source_url"/>
    <x:tableColumn id="10" name="doi_or_link"/>
  </x:tableColumns>
  <x:tableStyleInfo name="TableStyleMedium2" showRowStripes="1"/>
</x:table>
</file>

<file path=xl/tables/table2.xml><?xml version="1.0" encoding="utf-8"?>
<x:table xmlns:x="http://schemas.openxmlformats.org/spreadsheetml/2006/main" id="2" name="ExtractedDataTable" displayName="ExtractedDataTable" ref="A1:AT26" headerRowCount="1">
  <x:tableColumns count="46">
    <x:tableColumn id="1" name="row_id"/>
    <x:tableColumn id="2" name="study_id"/>
    <x:tableColumn id="3" name="row_type"/>
    <x:tableColumn id="4" name="formulation_code"/>
    <x:tableColumn id="5" name="data_quality"/>
    <x:tableColumn id="6" name="PVA_wt_pct"/>
    <x:tableColumn id="7" name="PVP_wt_pct"/>
    <x:tableColumn id="8" name="citric_acid_wt_pct"/>
    <x:tableColumn id="9" name="PMVE_MA_or_Gantrez_wt_pct"/>
    <x:tableColumn id="10" name="PEG10000_wt_pct"/>
    <x:tableColumn id="11" name="PEG400_wt_pct"/>
    <x:tableColumn id="12" name="glycerol_wt_pct"/>
    <x:tableColumn id="13" name="Na2CO3_wt_pct"/>
    <x:tableColumn id="14" name="water_wt_pct"/>
    <x:tableColumn id="15" name="crosslink_temp_C"/>
    <x:tableColumn id="16" name="crosslink_time_min"/>
    <x:tableColumn id="17" name="drying_condition"/>
    <x:tableColumn id="18" name="centrifuge_condition"/>
    <x:tableColumn id="19" name="MN_shape"/>
    <x:tableColumn id="20" name="array_count"/>
    <x:tableColumn id="21" name="needle_number_total"/>
    <x:tableColumn id="22" name="needle_height_um"/>
    <x:tableColumn id="23" name="needle_base_width_um"/>
    <x:tableColumn id="24" name="interspacing_um"/>
    <x:tableColumn id="25" name="array_area_cm2"/>
    <x:tableColumn id="26" name="MAP_weight_mg"/>
    <x:tableColumn id="27" name="film_thickness_mm"/>
    <x:tableColumn id="28" name="Fmax_N_per_cm2_mean"/>
    <x:tableColumn id="29" name="Fmax_N_per_cm2_sd"/>
    <x:tableColumn id="30" name="swelling_pct_mean"/>
    <x:tableColumn id="31" name="swelling_pct_sd"/>
    <x:tableColumn id="32" name="gel_fraction_pct_mean"/>
    <x:tableColumn id="33" name="gel_fraction_pct_sd"/>
    <x:tableColumn id="34" name="height_reduction_pct_mean"/>
    <x:tableColumn id="35" name="height_reduction_pct_sd"/>
    <x:tableColumn id="36" name="insertion_depth_um_mean"/>
    <x:tableColumn id="37" name="insertion_depth_um_sd"/>
    <x:tableColumn id="38" name="insertion_depth_pct"/>
    <x:tableColumn id="39" name="drug_or_solute"/>
    <x:tableColumn id="40" name="reservoir_type"/>
    <x:tableColumn id="41" name="reservoir_composition"/>
    <x:tableColumn id="42" name="drug_loading_or_content"/>
    <x:tableColumn id="43" name="release_or_permeation_result"/>
    <x:tableColumn id="44" name="notes"/>
    <x:tableColumn id="45" name="source_url"/>
    <x:tableColumn id="46" name="source_evidenc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C17" headerRowCount="1">
  <x:tableColumns count="3">
    <x:tableColumn id="1" name="column"/>
    <x:tableColumn id="2" name="meaning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7780ee80454e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9be77ef5db41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854f49075df48a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34" customHeight="1">
      <x:c r="A1" s="13" t="str">
        <x:v>Ryan Donnelly hydrogel-forming microneedle data extraction – first model-ready version</x:v>
      </x:c>
      <x:c r="B1" s="13"/>
    </x:row>
    <x:row r="2">
      <x:c r="A2" s="17" t="str">
        <x:v>Created</x:v>
      </x:c>
      <x:c r="B2" s="20" t="str">
        <x:v>2026-05-27 23:21 UTC</x:v>
      </x:c>
    </x:row>
    <x:row r="3">
      <x:c r="A3" s="17" t="str">
        <x:v>Scope</x:v>
      </x:c>
      <x:c r="B3" s="20" t="str">
        <x:v>Hydrogel-forming microneedle / microarray patch studies from Ryan F. Donnelly group or with Ryan F. Donnelly as co-author, focusing on formulation–process–performance data useful for preliminary AI/ML prediction.</x:v>
      </x:c>
    </x:row>
    <x:row r="4">
      <x:c r="A4" s="17" t="str">
        <x:v>Important limitation</x:v>
      </x:c>
      <x:c r="B4" s="20" t="str">
        <x:v>This is a first-pass extraction from open-access web/full-text sources available during this session. It is not yet a complete systematic database of every Donnelly HFMN article. Exact full extraction of all papers requires downloading/reading each full paper and supplementary data.</x:v>
      </x:c>
    </x:row>
    <x:row r="5">
      <x:c r="A5" s="17" t="str">
        <x:v>How to use</x:v>
      </x:c>
      <x:c r="B5" s="20" t="str">
        <x:v>Use the Extracted_Data sheet for preliminary ML experiments. Rows with data_quality = 'model_ready' contain numeric formulation/process/performance data. Rows with data_quality = 'study_level' are useful context but need full-text extraction before model training.</x:v>
      </x:c>
    </x:row>
    <x:row r="6">
      <x:c r="A6" s="17" t="str">
        <x:v>Recommended first target</x:v>
      </x:c>
      <x:c r="B6" s="20" t="str">
        <x:v>swelling_pct_mean or gel_fraction_pct_mean from HFF/formulation rows; later add mechanical/insertion/release targets.</x:v>
      </x:c>
    </x:row>
    <x:row r="7">
      <x:c r="A7" s="17" t="str">
        <x:v>Source tracking</x:v>
      </x:c>
      <x:c r="B7" s="20" t="str">
        <x:v>Each row includes source_url and source_evidence so you can verify the data.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" hidden="0" customWidth="1"/>
    <x:col min="3" max="3" width="52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36" hidden="0" customWidth="1"/>
    <x:col min="9" max="9" width="50" hidden="0" customWidth="1"/>
    <x:col min="10" max="10" width="30" hidden="0" customWidth="1"/>
  </x:cols>
  <x:sheetData>
    <x:row r="1" ht="36" customHeight="1">
      <x:c r="A1" s="6" t="str">
        <x:v>study_id</x:v>
      </x:c>
      <x:c r="B1" s="26" t="str">
        <x:v>year</x:v>
      </x:c>
      <x:c r="C1" s="6" t="str">
        <x:v>paper_title</x:v>
      </x:c>
      <x:c r="D1" s="6" t="str">
        <x:v>Donnelly_role</x:v>
      </x:c>
      <x:c r="E1" s="6" t="str">
        <x:v>system_type</x:v>
      </x:c>
      <x:c r="F1" s="6" t="str">
        <x:v>drug_or_application</x:v>
      </x:c>
      <x:c r="G1" s="6" t="str">
        <x:v>main_polymer_system</x:v>
      </x:c>
      <x:c r="H1" s="6" t="str">
        <x:v>key_data_extracted</x:v>
      </x:c>
      <x:c r="I1" s="6" t="str">
        <x:v>source_url</x:v>
      </x:c>
      <x:c r="J1" s="6" t="str">
        <x:v>doi_or_link</x:v>
      </x:c>
    </x:row>
    <x:row r="2">
      <x:c r="A2" s="20" t="str">
        <x:v>DON2012_AFM</x:v>
      </x:c>
      <x:c r="B2" s="20" t="n">
        <x:v>2012</x:v>
      </x:c>
      <x:c r="C2" s="20" t="str">
        <x:v>Hydrogel-Forming Microneedle Arrays for Enhanced Transdermal Drug Delivery</x:v>
      </x:c>
      <x:c r="D2" s="20" t="str">
        <x:v>author/corresponding</x:v>
      </x:c>
      <x:c r="E2" s="20" t="str">
        <x:v>hydrogel-forming MN + drug reservoir</x:v>
      </x:c>
      <x:c r="F2" s="20" t="str">
        <x:v>model solutes: FITC-BSA, insulin, methylene blue, caffeine, theophylline, metronidazole</x:v>
      </x:c>
      <x:c r="G2" s="20" t="str">
        <x:v>PMVE/MA + PEG 10,000</x:v>
      </x:c>
      <x:c r="H2" s="20" t="str">
        <x:v>base formulation, crosslinking condition, geometry, insertion threshold</x:v>
      </x:c>
      <x:c r="I2" s="20" t="str">
        <x:v>https://pmc.ncbi.nlm.nih.gov/articles/PMC3627464/</x:v>
      </x:c>
      <x:c r="J2" s="20" t="str">
        <x:v>10.1002/adfm.201200864</x:v>
      </x:c>
    </x:row>
    <x:row r="3">
      <x:c r="A3" s="20" t="str">
        <x:v>DON2014_SUPER</x:v>
      </x:c>
      <x:c r="B3" s="20" t="n">
        <x:v>2014</x:v>
      </x:c>
      <x:c r="C3" s="20" t="str">
        <x:v>Hydrogel-Forming Microneedles Prepared from “Super Swelling” Polymers Combined with Lyophilised Wafers for Transdermal Drug Delivery</x:v>
      </x:c>
      <x:c r="D3" s="20" t="str">
        <x:v>author</x:v>
      </x:c>
      <x:c r="E3" s="20" t="str">
        <x:v>super-swelling HFMN + lyophilised wafer</x:v>
      </x:c>
      <x:c r="F3" s="20" t="str">
        <x:v>transdermal drug delivery platform</x:v>
      </x:c>
      <x:c r="G3" s="20" t="str">
        <x:v>PMVE/MA-based super-swelling polymers</x:v>
      </x:c>
      <x:c r="H3" s="20" t="str">
        <x:v>indexed; detailed numeric extraction pending</x:v>
      </x:c>
      <x:c r="I3" s="20" t="str">
        <x:v>https://pmc.ncbi.nlm.nih.gov/articles/PMC4216095/</x:v>
      </x:c>
      <x:c r="J3" s="20" t="str">
        <x:v>10.1371/journal.pone.0111547</x:v>
      </x:c>
    </x:row>
    <x:row r="4">
      <x:c r="A4" s="20" t="str">
        <x:v>MIG2018_METFORMIN</x:v>
      </x:c>
      <x:c r="B4" s="20" t="n">
        <x:v>2018</x:v>
      </x:c>
      <x:c r="C4" s="20" t="str">
        <x:v>Hydrogel-forming microneedles enhance transdermal delivery of metformin hydrochloride</x:v>
      </x:c>
      <x:c r="D4" s="20" t="str">
        <x:v>co-author</x:v>
      </x:c>
      <x:c r="E4" s="20" t="str">
        <x:v>HFMN + drug reservoir</x:v>
      </x:c>
      <x:c r="F4" s="20" t="str">
        <x:v>metformin HCl</x:v>
      </x:c>
      <x:c r="G4" s="20" t="str">
        <x:v>hydrogel-forming MN</x:v>
      </x:c>
      <x:c r="H4" s="20" t="str">
        <x:v>indexed; detailed numeric extraction pending</x:v>
      </x:c>
      <x:c r="I4" s="20" t="str">
        <x:v>https://pubmed.ncbi.nlm.nih.gov/29990526/</x:v>
      </x:c>
      <x:c r="J4" s="20" t="str">
        <x:v>10.1016/j.jconrel.2018.07.009</x:v>
      </x:c>
    </x:row>
    <x:row r="5">
      <x:c r="A5" s="20" t="str">
        <x:v>TEK2020_MTX</x:v>
      </x:c>
      <x:c r="B5" s="20" t="n">
        <x:v>2020</x:v>
      </x:c>
      <x:c r="C5" s="20" t="str">
        <x:v>Development and characterisation of novel PVA/PVP-based hydrogel-forming microneedle arrays for enhanced and sustained transdermal delivery of methotrexate</x:v>
      </x:c>
      <x:c r="D5" s="20" t="str">
        <x:v>co-author</x:v>
      </x:c>
      <x:c r="E5" s="20" t="str">
        <x:v>PVA/PVP/CA HFMN + reservoir</x:v>
      </x:c>
      <x:c r="F5" s="20" t="str">
        <x:v>methotrexate</x:v>
      </x:c>
      <x:c r="G5" s="20" t="str">
        <x:v>PVA/PVP/citric acid</x:v>
      </x:c>
      <x:c r="H5" s="20" t="str">
        <x:v>full formulation screening, HFF swelling/GF/Fmax, HFMN mechanical/insertion data</x:v>
      </x:c>
      <x:c r="I5" s="20" t="str">
        <x:v>https://pureadmin.qub.ac.uk/ws/portalfiles/portal/213540647/Arrays.pdf</x:v>
      </x:c>
      <x:c r="J5" s="20" t="str">
        <x:v>10.1016/j.ijpharm.2020.119580</x:v>
      </x:c>
    </x:row>
    <x:row r="6">
      <x:c r="A6" s="20" t="str">
        <x:v>MCA2021_AMX</x:v>
      </x:c>
      <x:c r="B6" s="20" t="n">
        <x:v>2021</x:v>
      </x:c>
      <x:c r="C6" s="20" t="str">
        <x:v>From the laboratory to the end-user: a primary packaging study for microneedle patches containing amoxicillin sodium</x:v>
      </x:c>
      <x:c r="D6" s="20" t="str">
        <x:v>co-author</x:v>
      </x:c>
      <x:c r="E6" s="20" t="str">
        <x:v>PVA/PVP/CA HFMN + directly compressed tablet reservoir</x:v>
      </x:c>
      <x:c r="F6" s="20" t="str">
        <x:v>amoxicillin sodium</x:v>
      </x:c>
      <x:c r="G6" s="20" t="str">
        <x:v>PVA/PVP/citric acid</x:v>
      </x:c>
      <x:c r="H6" s="20" t="str">
        <x:v>base formulation, fabrication, geometry, reservoir composition</x:v>
      </x:c>
      <x:c r="I6" s="20" t="str">
        <x:v>https://link.springer.com/article/10.1007/s13346-020-00883-5</x:v>
      </x:c>
      <x:c r="J6" s="20" t="str">
        <x:v>10.1007/s13346-020-00883-5</x:v>
      </x:c>
    </x:row>
    <x:row r="7">
      <x:c r="A7" s="20" t="str">
        <x:v>ANJ2021_TB</x:v>
      </x:c>
      <x:c r="B7" s="20" t="n">
        <x:v>2021</x:v>
      </x:c>
      <x:c r="C7" s="20" t="str">
        <x:v>Versatility of hydrogel-forming microneedles in in vitro transdermal delivery of tuberculosis drugs</x:v>
      </x:c>
      <x:c r="D7" s="20" t="str">
        <x:v>co-author</x:v>
      </x:c>
      <x:c r="E7" s="20" t="str">
        <x:v>HFMN + reservoirs</x:v>
      </x:c>
      <x:c r="F7" s="20" t="str">
        <x:v>rifampicin, isoniazid, pyrazinamide, ethambutol</x:v>
      </x:c>
      <x:c r="G7" s="20" t="str">
        <x:v>multiple hydrogel systems</x:v>
      </x:c>
      <x:c r="H7" s="20" t="str">
        <x:v>study-level delivery percentages indexed; detailed formulation extraction pending</x:v>
      </x:c>
      <x:c r="I7" s="20" t="str">
        <x:v>https://doi.org/10.1016/j.ejpb.2020.12.003</x:v>
      </x:c>
      <x:c r="J7" s="20" t="str">
        <x:v>10.1016/j.ejpb.2020.12.003</x:v>
      </x:c>
    </x:row>
    <x:row r="8">
      <x:c r="A8" s="20" t="str">
        <x:v>COUR2020_ESK</x:v>
      </x:c>
      <x:c r="B8" s="20" t="n">
        <x:v>2020</x:v>
      </x:c>
      <x:c r="C8" s="20" t="str">
        <x:v>Hydrogel-forming microneedle arrays as a therapeutic option for transdermal esketamine delivery</x:v>
      </x:c>
      <x:c r="D8" s="20" t="str">
        <x:v>co-author</x:v>
      </x:c>
      <x:c r="E8" s="20" t="str">
        <x:v>HFMN + polymeric film/lyophilised reservoir</x:v>
      </x:c>
      <x:c r="F8" s="20" t="str">
        <x:v>esketamine</x:v>
      </x:c>
      <x:c r="G8" s="20" t="str">
        <x:v>hydrogel-forming MN</x:v>
      </x:c>
      <x:c r="H8" s="20" t="str">
        <x:v>study-level PK and reservoir outcomes indexed</x:v>
      </x:c>
      <x:c r="I8" s="20" t="str">
        <x:v>https://www.sciencedirect.com/science/article/pii/S0168365920301784</x:v>
      </x:c>
      <x:c r="J8" s="20" t="str">
        <x:v>10.1016/j.jconrel.2020.03.026</x:v>
      </x:c>
    </x:row>
    <x:row r="9">
      <x:c r="A9" s="20" t="str">
        <x:v>ZHA2023_TET</x:v>
      </x:c>
      <x:c r="B9" s="20" t="n">
        <x:v>2023</x:v>
      </x:c>
      <x:c r="C9" s="20" t="str">
        <x:v>Hydrogel-forming microarray patch mediated transdermal delivery of tetracycline hydrochloride</x:v>
      </x:c>
      <x:c r="D9" s="20" t="str">
        <x:v>co-author</x:v>
      </x:c>
      <x:c r="E9" s="20" t="str">
        <x:v>PVA/PVP HF-MAP + drug reservoir</x:v>
      </x:c>
      <x:c r="F9" s="20" t="str">
        <x:v>tetracycline hydrochloride</x:v>
      </x:c>
      <x:c r="G9" s="20" t="str">
        <x:v>PVA/PVP</x:v>
      </x:c>
      <x:c r="H9" s="20" t="str">
        <x:v>study-level swelling and in vivo PK indexed</x:v>
      </x:c>
      <x:c r="I9" s="20" t="str">
        <x:v>https://www.sciencedirect.com/science/article/pii/S0168365923001438</x:v>
      </x:c>
      <x:c r="J9" s="20" t="str">
        <x:v>10.1016/j.jconrel.2023.02.031</x:v>
      </x:c>
    </x:row>
    <x:row r="10">
      <x:c r="A10" s="20" t="str">
        <x:v>HIM2023_LOW_TEMP</x:v>
      </x:c>
      <x:c r="B10" s="20" t="n">
        <x:v>2023</x:v>
      </x:c>
      <x:c r="C10" s="20" t="str">
        <x:v>Multifunctional low temperature-cured PVA/PVP/citric acid-based hydrogel forming microarray patches</x:v>
      </x:c>
      <x:c r="D10" s="20" t="str">
        <x:v>co-author</x:v>
      </x:c>
      <x:c r="E10" s="20" t="str">
        <x:v>low-temperature PVA/PVP/CA HF-MAP</x:v>
      </x:c>
      <x:c r="F10" s="20" t="str">
        <x:v>hydrophilic drug interaction / TDM and drug delivery</x:v>
      </x:c>
      <x:c r="G10" s="20" t="str">
        <x:v>PVA/PVP/citric acid</x:v>
      </x:c>
      <x:c r="H10" s="20" t="str">
        <x:v>study-level geometry, crosslinking temperature, diffusion coefficients indexed</x:v>
      </x:c>
      <x:c r="I10" s="20" t="str">
        <x:v>https://www.sciencedirect.com/science/article/pii/S0014305723000198</x:v>
      </x:c>
      <x:c r="J10" s="20" t="str">
        <x:v>10.1016/j.eurpolymj.2023.111836</x:v>
      </x:c>
    </x:row>
    <x:row r="11">
      <x:c r="A11" s="20" t="str">
        <x:v>LI2025_IBU</x:v>
      </x:c>
      <x:c r="B11" s="20" t="n">
        <x:v>2025</x:v>
      </x:c>
      <x:c r="C11" s="20" t="str">
        <x:v>Evaluation of physical and chemical modifications to drug reservoirs for stimuli-responsive microneedles</x:v>
      </x:c>
      <x:c r="D11" s="20" t="str">
        <x:v>co-author</x:v>
      </x:c>
      <x:c r="E11" s="20" t="str">
        <x:v>PVA-based HFMN + lyophilised/effervescent/film reservoirs</x:v>
      </x:c>
      <x:c r="F11" s="20" t="str">
        <x:v>ibuprofen sodium</x:v>
      </x:c>
      <x:c r="G11" s="20" t="str">
        <x:v>Gantrez or PVA/PVP/citric acid</x:v>
      </x:c>
      <x:c r="H11" s="20" t="str">
        <x:v>H3/H4 swelling, diffusion, insertion depths, fabrication conditions</x:v>
      </x:c>
      <x:c r="I11" s="20" t="str">
        <x:v>https://link.springer.com/article/10.1007/s13346-024-01737-0</x:v>
      </x:c>
      <x:c r="J11" s="20" t="str">
        <x:v>10.1007/s13346-024-01737-0</x:v>
      </x:c>
    </x:row>
    <x:row r="12">
      <x:c r="A12" s="20" t="str">
        <x:v>ANJ2025_INH_PYX</x:v>
      </x:c>
      <x:c r="B12" s="20" t="n">
        <x:v>2025</x:v>
      </x:c>
      <x:c r="C12" s="20" t="str">
        <x:v>Lyophilised reservoirs in combination with hydrogel-forming microarray patches for transdermal delivery of isoniazid and pyridoxine hydrochloride</x:v>
      </x:c>
      <x:c r="D12" s="20" t="str">
        <x:v>co-author</x:v>
      </x:c>
      <x:c r="E12" s="20" t="str">
        <x:v>HFMAP + lyophilised reservoirs</x:v>
      </x:c>
      <x:c r="F12" s="20" t="str">
        <x:v>isoniazid and pyridoxine hydrochloride</x:v>
      </x:c>
      <x:c r="G12" s="20" t="str">
        <x:v>hydrogel-forming MAP</x:v>
      </x:c>
      <x:c r="H12" s="20" t="str">
        <x:v>study-level outcomes indexed</x:v>
      </x:c>
      <x:c r="I12" s="20" t="str">
        <x:v>https://www.sciencedirect.com/science/article/pii/S2772950825001700</x:v>
      </x:c>
      <x:c r="J12" s="20" t="str">
        <x:v>10.1016/j.bioadv.2025.214343</x:v>
      </x:c>
    </x:row>
    <x:row r="13">
      <x:c r="A13" s="20" t="str">
        <x:v>HLI2025_ENF</x:v>
      </x:c>
      <x:c r="B13" s="20" t="n">
        <x:v>2025</x:v>
      </x:c>
      <x:c r="C13" s="20" t="str">
        <x:v>Quality by Design-Guided Development of Hydrogel-Forming Microneedles for Transdermal Delivery of Enfuvirtide</x:v>
      </x:c>
      <x:c r="D13" s="20" t="str">
        <x:v>co-author</x:v>
      </x:c>
      <x:c r="E13" s="20" t="str">
        <x:v>QbD HFMN</x:v>
      </x:c>
      <x:c r="F13" s="20" t="str">
        <x:v>enfuvirtide</x:v>
      </x:c>
      <x:c r="G13" s="20" t="str">
        <x:v>PVA/PVP/citric acid and PVA/PVP/PEGdiacid</x:v>
      </x:c>
      <x:c r="H13" s="20" t="str">
        <x:v>indexed; detailed extraction pending</x:v>
      </x:c>
      <x:c r="I13" s="20" t="str">
        <x:v>https://pubs.acs.org/doi/10.1021/acsami.5c00499</x:v>
      </x:c>
      <x:c r="J13" s="20" t="str">
        <x:v>10.1021/acsami.5c00499</x:v>
      </x:c>
    </x:row>
  </x:sheetData>
  <x:pageMargins left="0.7" right="0.7" top="0.75" bottom="0.75" header="0.3" footer="0.3"/>
  <x:tableParts count="1">
    <x:tablePart xmlns:r="http://schemas.openxmlformats.org/officeDocument/2006/relationships" r:id="Rb27780ee80454e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28" hidden="0" customWidth="1"/>
    <x:col min="19" max="19" width="14" hidden="0" customWidth="1"/>
    <x:col min="20" max="20" width="12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28" hidden="0" customWidth="1"/>
    <x:col min="40" max="40" width="36" hidden="0" customWidth="1"/>
    <x:col min="41" max="41" width="30" hidden="0" customWidth="1"/>
    <x:col min="42" max="42" width="28" hidden="0" customWidth="1"/>
    <x:col min="43" max="43" width="54" hidden="0" customWidth="1"/>
    <x:col min="44" max="44" width="52" hidden="0" customWidth="1"/>
    <x:col min="45" max="45" width="48" hidden="0" customWidth="1"/>
    <x:col min="46" max="46" width="70" hidden="0" customWidth="1"/>
  </x:cols>
  <x:sheetData>
    <x:row r="1" ht="36" customHeight="1">
      <x:c r="A1" s="6" t="str">
        <x:v>row_id</x:v>
      </x:c>
      <x:c r="B1" s="6" t="str">
        <x:v>study_id</x:v>
      </x:c>
      <x:c r="C1" s="6" t="str">
        <x:v>row_type</x:v>
      </x:c>
      <x:c r="D1" s="6" t="str">
        <x:v>formulation_code</x:v>
      </x:c>
      <x:c r="E1" s="6" t="str">
        <x:v>data_quality</x:v>
      </x:c>
      <x:c r="F1" s="24" t="str">
        <x:v>PVA_wt_pct</x:v>
      </x:c>
      <x:c r="G1" s="24" t="str">
        <x:v>PVP_wt_pct</x:v>
      </x:c>
      <x:c r="H1" s="24" t="str">
        <x:v>citric_acid_wt_pct</x:v>
      </x:c>
      <x:c r="I1" s="24" t="str">
        <x:v>PMVE_MA_or_Gantrez_wt_pct</x:v>
      </x:c>
      <x:c r="J1" s="24" t="str">
        <x:v>PEG10000_wt_pct</x:v>
      </x:c>
      <x:c r="K1" s="24" t="str">
        <x:v>PEG400_wt_pct</x:v>
      </x:c>
      <x:c r="L1" s="24" t="str">
        <x:v>glycerol_wt_pct</x:v>
      </x:c>
      <x:c r="M1" s="24" t="str">
        <x:v>Na2CO3_wt_pct</x:v>
      </x:c>
      <x:c r="N1" s="24" t="str">
        <x:v>water_wt_pct</x:v>
      </x:c>
      <x:c r="O1" s="24" t="str">
        <x:v>crosslink_temp_C</x:v>
      </x:c>
      <x:c r="P1" s="24" t="str">
        <x:v>crosslink_time_min</x:v>
      </x:c>
      <x:c r="Q1" s="24" t="str">
        <x:v>drying_condition</x:v>
      </x:c>
      <x:c r="R1" s="24" t="str">
        <x:v>centrifuge_condition</x:v>
      </x:c>
      <x:c r="S1" s="24" t="str">
        <x:v>MN_shape</x:v>
      </x:c>
      <x:c r="T1" s="24" t="str">
        <x:v>array_count</x:v>
      </x:c>
      <x:c r="U1" s="24" t="str">
        <x:v>needle_number_total</x:v>
      </x:c>
      <x:c r="V1" s="24" t="str">
        <x:v>needle_height_um</x:v>
      </x:c>
      <x:c r="W1" s="24" t="str">
        <x:v>needle_base_width_um</x:v>
      </x:c>
      <x:c r="X1" s="24" t="str">
        <x:v>interspacing_um</x:v>
      </x:c>
      <x:c r="Y1" s="24" t="str">
        <x:v>array_area_cm2</x:v>
      </x:c>
      <x:c r="Z1" s="24" t="str">
        <x:v>MAP_weight_mg</x:v>
      </x:c>
      <x:c r="AA1" s="24" t="str">
        <x:v>film_thickness_mm</x:v>
      </x:c>
      <x:c r="AB1" s="24" t="str">
        <x:v>Fmax_N_per_cm2_mean</x:v>
      </x:c>
      <x:c r="AC1" s="24" t="str">
        <x:v>Fmax_N_per_cm2_sd</x:v>
      </x:c>
      <x:c r="AD1" s="24" t="str">
        <x:v>swelling_pct_mean</x:v>
      </x:c>
      <x:c r="AE1" s="24" t="str">
        <x:v>swelling_pct_sd</x:v>
      </x:c>
      <x:c r="AF1" s="24" t="str">
        <x:v>gel_fraction_pct_mean</x:v>
      </x:c>
      <x:c r="AG1" s="24" t="str">
        <x:v>gel_fraction_pct_sd</x:v>
      </x:c>
      <x:c r="AH1" s="24" t="str">
        <x:v>height_reduction_pct_mean</x:v>
      </x:c>
      <x:c r="AI1" s="24" t="str">
        <x:v>height_reduction_pct_sd</x:v>
      </x:c>
      <x:c r="AJ1" s="24" t="str">
        <x:v>insertion_depth_um_mean</x:v>
      </x:c>
      <x:c r="AK1" s="24" t="str">
        <x:v>insertion_depth_um_sd</x:v>
      </x:c>
      <x:c r="AL1" s="24" t="str">
        <x:v>insertion_depth_pct</x:v>
      </x:c>
      <x:c r="AM1" s="24" t="str">
        <x:v>drug_or_solute</x:v>
      </x:c>
      <x:c r="AN1" s="24" t="str">
        <x:v>reservoir_type</x:v>
      </x:c>
      <x:c r="AO1" s="24" t="str">
        <x:v>reservoir_composition</x:v>
      </x:c>
      <x:c r="AP1" s="6" t="str">
        <x:v>drug_loading_or_content</x:v>
      </x:c>
      <x:c r="AQ1" s="6" t="str">
        <x:v>release_or_permeation_result</x:v>
      </x:c>
      <x:c r="AR1" s="6" t="str">
        <x:v>notes</x:v>
      </x:c>
      <x:c r="AS1" s="6" t="str">
        <x:v>source_url</x:v>
      </x:c>
      <x:c r="AT1" s="6" t="str">
        <x:v>source_evidence</x:v>
      </x:c>
    </x:row>
    <x:row r="2">
      <x:c r="A2" s="20" t="str">
        <x:v>DON2012_001</x:v>
      </x:c>
      <x:c r="B2" s="20" t="str">
        <x:v>DON2012_AFM</x:v>
      </x:c>
      <x:c r="C2" s="20" t="str">
        <x:v>MN_system</x:v>
      </x:c>
      <x:c r="D2" s="20" t="str">
        <x:v>PMVE/MA-PEG-HFMN</x:v>
      </x:c>
      <x:c r="E2" s="20" t="str">
        <x:v>model_ready</x:v>
      </x:c>
      <x:c r="F2" s="22"/>
      <x:c r="G2" s="22"/>
      <x:c r="H2" s="22"/>
      <x:c r="I2" s="22" t="n">
        <x:v>15</x:v>
      </x:c>
      <x:c r="J2" s="22" t="n">
        <x:v>7.5</x:v>
      </x:c>
      <x:c r="K2" s="22"/>
      <x:c r="L2" s="22"/>
      <x:c r="M2" s="22"/>
      <x:c r="N2" s="22"/>
      <x:c r="O2" s="22" t="n">
        <x:v>80</x:v>
      </x:c>
      <x:c r="P2" s="22" t="n">
        <x:v>1440</x:v>
      </x:c>
      <x:c r="Q2" s="22"/>
      <x:c r="R2" s="22"/>
      <x:c r="S2" s="22"/>
      <x:c r="T2" s="22" t="str">
        <x:v>3x3</x:v>
      </x:c>
      <x:c r="U2" s="22" t="n">
        <x:v>9</x:v>
      </x:c>
      <x:c r="V2" s="22" t="n">
        <x:v>600</x:v>
      </x:c>
      <x:c r="W2" s="22" t="n">
        <x:v>300</x:v>
      </x:c>
      <x:c r="X2" s="22" t="n">
        <x:v>150</x:v>
      </x:c>
      <x:c r="Y2" s="22"/>
      <x:c r="Z2" s="22"/>
      <x:c r="AA2" s="22"/>
      <x:c r="AB2" s="22"/>
      <x:c r="AC2" s="22"/>
      <x:c r="AD2" s="22"/>
      <x:c r="AE2" s="22"/>
      <x:c r="AF2" s="22"/>
      <x:c r="AG2" s="22"/>
      <x:c r="AH2" s="22"/>
      <x:c r="AI2" s="22"/>
      <x:c r="AJ2" s="22"/>
      <x:c r="AK2" s="22"/>
      <x:c r="AL2" s="22"/>
      <x:c r="AM2" s="22" t="str">
        <x:v>FITC-BSA; insulin; methylene blue; caffeine; theophylline; metronidazole</x:v>
      </x:c>
      <x:c r="AN2" s="22" t="str">
        <x:v>adhesive patch reservoir</x:v>
      </x:c>
      <x:c r="AO2" s="22" t="str">
        <x:v>10% w/w PMVE/MA + 5% w/w TPM adhesive patch with solute(s)</x:v>
      </x:c>
      <x:c r="AP2" s="22" t="str">
        <x:v>defined loadings not extracted</x:v>
      </x:c>
      <x:c r="AQ2" s="20" t="str">
        <x:v>100% stratum corneum penetration at insertion force ≥0.03 N/needle; delivery controlled by hydrogel crosslink density</x:v>
      </x:c>
      <x:c r="AR2" s="20" t="str">
        <x:v>Foundational hydrogel-forming MN system. Contains no drug in MN; reservoir supplies solute.</x:v>
      </x:c>
      <x:c r="AS2" s="20" t="str">
        <x:v>https://pmc.ncbi.nlm.nih.gov/articles/PMC3627464/</x:v>
      </x:c>
      <x:c r="AT2" s="20" t="str">
        <x:v>Lines 197–201: PMVE/MA 15% + PEG10000 7.5%, 80°C/24h, 600 µm height, 300 µm base, 150 µm interspacing; Lines 207–210: 100% penetration at ≥0.03 N/needle.</x:v>
      </x:c>
    </x:row>
    <x:row r="3">
      <x:c r="A3" s="20" t="str">
        <x:v>MCA2021_001</x:v>
      </x:c>
      <x:c r="B3" s="20" t="str">
        <x:v>MCA2021_AMX</x:v>
      </x:c>
      <x:c r="C3" s="20" t="str">
        <x:v>MN_system</x:v>
      </x:c>
      <x:c r="D3" s="20" t="str">
        <x:v>PVA/PVP/CA-HFMN</x:v>
      </x:c>
      <x:c r="E3" s="20" t="str">
        <x:v>model_ready</x:v>
      </x:c>
      <x:c r="F3" s="22" t="n">
        <x:v>15</x:v>
      </x:c>
      <x:c r="G3" s="22" t="n">
        <x:v>10</x:v>
      </x:c>
      <x:c r="H3" s="22" t="n">
        <x:v>1.5</x:v>
      </x:c>
      <x:c r="I3" s="22"/>
      <x:c r="J3" s="22"/>
      <x:c r="K3" s="22"/>
      <x:c r="L3" s="22"/>
      <x:c r="M3" s="22"/>
      <x:c r="N3" s="22"/>
      <x:c r="O3" s="22" t="n">
        <x:v>130</x:v>
      </x:c>
      <x:c r="P3" s="22" t="n">
        <x:v>180</x:v>
      </x:c>
      <x:c r="Q3" s="22" t="str">
        <x:v>room temperature 48 h</x:v>
      </x:c>
      <x:c r="R3" s="22" t="str">
        <x:v>3500 rpm 15 min before drying</x:v>
      </x:c>
      <x:c r="S3" s="22" t="str">
        <x:v>conical</x:v>
      </x:c>
      <x:c r="T3" s="22" t="str">
        <x:v>19x19</x:v>
      </x:c>
      <x:c r="U3" s="22" t="n">
        <x:v>361</x:v>
      </x:c>
      <x:c r="V3" s="22" t="n">
        <x:v>600</x:v>
      </x:c>
      <x:c r="W3" s="22" t="n">
        <x:v>300</x:v>
      </x:c>
      <x:c r="X3" s="22" t="n">
        <x:v>150</x:v>
      </x:c>
      <x:c r="Y3" s="22" t="n">
        <x:v>0.49</x:v>
      </x:c>
      <x:c r="Z3" s="22"/>
      <x:c r="AA3" s="22"/>
      <x:c r="AB3" s="22"/>
      <x:c r="AC3" s="22"/>
      <x:c r="AD3" s="22"/>
      <x:c r="AE3" s="22"/>
      <x:c r="AF3" s="22"/>
      <x:c r="AG3" s="22"/>
      <x:c r="AH3" s="22"/>
      <x:c r="AI3" s="22"/>
      <x:c r="AJ3" s="22"/>
      <x:c r="AK3" s="22"/>
      <x:c r="AL3" s="22"/>
      <x:c r="AM3" s="22" t="str">
        <x:v>amoxicillin sodium</x:v>
      </x:c>
      <x:c r="AN3" s="22" t="str">
        <x:v>directly compressed tablet reservoir</x:v>
      </x:c>
      <x:c r="AO3" s="22" t="str">
        <x:v>95% w/w amoxicillin sodium + 5% w/w sodium starch glycolate</x:v>
      </x:c>
      <x:c r="AP3" s="22" t="str">
        <x:v>not extracted</x:v>
      </x:c>
      <x:c r="AQ3" s="20" t="str">
        <x:v>packaging/end-user study; delivery details not extracted in this pass</x:v>
      </x:c>
      <x:c r="AR3" s="20" t="str">
        <x:v>Useful standard PVA/PVP/CA fabrication baseline.</x:v>
      </x:c>
      <x:c r="AS3" s="20" t="str">
        <x:v>https://link.springer.com/article/10.1007/s13346-020-00883-5</x:v>
      </x:c>
      <x:c r="AT3" s="20" t="str">
        <x:v>Lines 129–131: PVA 15%, PVP 10%, CA 1.5%, 0.5 g blend, 19x19 conical, 600 µm height, 300 µm base, 150 µm spacing, 0.49 cm², dried 48 h, crosslinked 130°C/3h.</x:v>
      </x:c>
    </x:row>
    <x:row r="4">
      <x:c r="A4" s="20" t="str">
        <x:v>TEK2020_HFF40_F1</x:v>
      </x:c>
      <x:c r="B4" s="20" t="str">
        <x:v>TEK2020_MTX</x:v>
      </x:c>
      <x:c r="C4" s="20" t="str">
        <x:v>hydrogel_film_screen</x:v>
      </x:c>
      <x:c r="D4" s="20" t="str">
        <x:v>F1</x:v>
      </x:c>
      <x:c r="E4" s="20" t="str">
        <x:v>screening_status_only</x:v>
      </x:c>
      <x:c r="F4" s="22" t="n">
        <x:v>5</x:v>
      </x:c>
      <x:c r="G4" s="22" t="n">
        <x:v>0</x:v>
      </x:c>
      <x:c r="H4" s="22" t="n">
        <x:v>0.5</x:v>
      </x:c>
      <x:c r="I4" s="22"/>
      <x:c r="J4" s="22"/>
      <x:c r="K4" s="22"/>
      <x:c r="L4" s="22"/>
      <x:c r="M4" s="22"/>
      <x:c r="N4" s="22" t="n">
        <x:v>94.5</x:v>
      </x:c>
      <x:c r="O4" s="22" t="n">
        <x:v>130</x:v>
      </x:c>
      <x:c r="P4" s="22" t="n">
        <x:v>40</x:v>
      </x:c>
      <x:c r="Q4" s="22" t="str">
        <x:v>film dried; details in source</x:v>
      </x:c>
      <x:c r="R4" s="22"/>
      <x:c r="S4" s="22"/>
      <x:c r="T4" s="22"/>
      <x:c r="U4" s="22"/>
      <x:c r="V4" s="22"/>
      <x:c r="W4" s="22"/>
      <x:c r="X4" s="22"/>
      <x:c r="Y4" s="22"/>
      <x:c r="Z4" s="22"/>
      <x:c r="AA4" s="22" t="n">
        <x:v>0.25</x:v>
      </x:c>
      <x:c r="AB4" s="22"/>
      <x:c r="AC4" s="22"/>
      <x:c r="AD4" s="22"/>
      <x:c r="AE4" s="22"/>
      <x:c r="AF4" s="22"/>
      <x:c r="AG4" s="22"/>
      <x:c r="AH4" s="22"/>
      <x:c r="AI4" s="22"/>
      <x:c r="AJ4" s="22"/>
      <x:c r="AK4" s="22"/>
      <x:c r="AL4" s="22"/>
      <x:c r="AM4" s="22" t="str">
        <x:v>methotrexate</x:v>
      </x:c>
      <x:c r="AN4" s="22" t="str">
        <x:v>film permeability screen / later reservoir</x:v>
      </x:c>
      <x:c r="AO4" s="22" t="str">
        <x:v>HFF only; not final MN reservoir</x:v>
      </x:c>
      <x:c r="AP4" s="22"/>
      <x:c r="AQ4" s="20"/>
      <x:c r="AR4" s="20" t="str">
        <x:v>Flexible; ND</x:v>
      </x:c>
      <x:c r="AS4" s="20" t="str">
        <x:v>https://pureadmin.qub.ac.uk/ws/portalfiles/portal/213540647/Arrays.pdf</x:v>
      </x:c>
      <x:c r="AT4" s="20" t="str">
        <x:v>Lines 223–234: formulation table. Lines 605–618: thickness/Fmax/%SE/%GF. Lines 588–594: discarded formulations.</x:v>
      </x:c>
    </x:row>
    <x:row r="5">
      <x:c r="A5" s="20" t="str">
        <x:v>TEK2020_HFF40_F2</x:v>
      </x:c>
      <x:c r="B5" s="20" t="str">
        <x:v>TEK2020_MTX</x:v>
      </x:c>
      <x:c r="C5" s="20" t="str">
        <x:v>hydrogel_film_screen</x:v>
      </x:c>
      <x:c r="D5" s="20" t="str">
        <x:v>F2</x:v>
      </x:c>
      <x:c r="E5" s="20" t="str">
        <x:v>screening_status_only</x:v>
      </x:c>
      <x:c r="F5" s="22" t="n">
        <x:v>10</x:v>
      </x:c>
      <x:c r="G5" s="22" t="n">
        <x:v>0</x:v>
      </x:c>
      <x:c r="H5" s="22" t="n">
        <x:v>1</x:v>
      </x:c>
      <x:c r="I5" s="22"/>
      <x:c r="J5" s="22"/>
      <x:c r="K5" s="22"/>
      <x:c r="L5" s="22"/>
      <x:c r="M5" s="22"/>
      <x:c r="N5" s="22" t="n">
        <x:v>89</x:v>
      </x:c>
      <x:c r="O5" s="22" t="n">
        <x:v>130</x:v>
      </x:c>
      <x:c r="P5" s="22" t="n">
        <x:v>40</x:v>
      </x:c>
      <x:c r="Q5" s="22" t="str">
        <x:v>film dried; details in source</x:v>
      </x:c>
      <x:c r="R5" s="22"/>
      <x:c r="S5" s="22"/>
      <x:c r="T5" s="22"/>
      <x:c r="U5" s="22"/>
      <x:c r="V5" s="22"/>
      <x:c r="W5" s="22"/>
      <x:c r="X5" s="22"/>
      <x:c r="Y5" s="22"/>
      <x:c r="Z5" s="22"/>
      <x:c r="AA5" s="22" t="n">
        <x:v>0.42</x:v>
      </x:c>
      <x:c r="AB5" s="22"/>
      <x:c r="AC5" s="22"/>
      <x:c r="AD5" s="22"/>
      <x:c r="AE5" s="22"/>
      <x:c r="AF5" s="22"/>
      <x:c r="AG5" s="22"/>
      <x:c r="AH5" s="22"/>
      <x:c r="AI5" s="22"/>
      <x:c r="AJ5" s="22"/>
      <x:c r="AK5" s="22"/>
      <x:c r="AL5" s="22"/>
      <x:c r="AM5" s="22" t="str">
        <x:v>methotrexate</x:v>
      </x:c>
      <x:c r="AN5" s="22" t="str">
        <x:v>film permeability screen / later reservoir</x:v>
      </x:c>
      <x:c r="AO5" s="22" t="str">
        <x:v>HFF only; not final MN reservoir</x:v>
      </x:c>
      <x:c r="AP5" s="22"/>
      <x:c r="AQ5" s="20"/>
      <x:c r="AR5" s="20" t="str">
        <x:v>Flexible; ND</x:v>
      </x:c>
      <x:c r="AS5" s="20" t="str">
        <x:v>https://pureadmin.qub.ac.uk/ws/portalfiles/portal/213540647/Arrays.pdf</x:v>
      </x:c>
      <x:c r="AT5" s="20" t="str">
        <x:v>Lines 223–234: formulation table. Lines 605–618: thickness/Fmax/%SE/%GF. Lines 588–594: discarded formulations.</x:v>
      </x:c>
    </x:row>
    <x:row r="6">
      <x:c r="A6" s="20" t="str">
        <x:v>TEK2020_HFF40_F3</x:v>
      </x:c>
      <x:c r="B6" s="20" t="str">
        <x:v>TEK2020_MTX</x:v>
      </x:c>
      <x:c r="C6" s="20" t="str">
        <x:v>hydrogel_film_screen</x:v>
      </x:c>
      <x:c r="D6" s="20" t="str">
        <x:v>F3</x:v>
      </x:c>
      <x:c r="E6" s="20" t="str">
        <x:v>model_ready</x:v>
      </x:c>
      <x:c r="F6" s="22" t="n">
        <x:v>15</x:v>
      </x:c>
      <x:c r="G6" s="22" t="n">
        <x:v>0</x:v>
      </x:c>
      <x:c r="H6" s="22" t="n">
        <x:v>1.5</x:v>
      </x:c>
      <x:c r="I6" s="22"/>
      <x:c r="J6" s="22"/>
      <x:c r="K6" s="22"/>
      <x:c r="L6" s="22"/>
      <x:c r="M6" s="22"/>
      <x:c r="N6" s="22" t="n">
        <x:v>83.5</x:v>
      </x:c>
      <x:c r="O6" s="22" t="n">
        <x:v>130</x:v>
      </x:c>
      <x:c r="P6" s="22" t="n">
        <x:v>40</x:v>
      </x:c>
      <x:c r="Q6" s="22" t="str">
        <x:v>film dried; details in source</x:v>
      </x:c>
      <x:c r="R6" s="22"/>
      <x:c r="S6" s="22"/>
      <x:c r="T6" s="22"/>
      <x:c r="U6" s="22"/>
      <x:c r="V6" s="22"/>
      <x:c r="W6" s="22"/>
      <x:c r="X6" s="22"/>
      <x:c r="Y6" s="22"/>
      <x:c r="Z6" s="22"/>
      <x:c r="AA6" s="22" t="n">
        <x:v>0.67</x:v>
      </x:c>
      <x:c r="AB6" s="22" t="n">
        <x:v>6.1</x:v>
      </x:c>
      <x:c r="AC6" s="22" t="n">
        <x:v>2.9</x:v>
      </x:c>
      <x:c r="AD6" s="22" t="n">
        <x:v>1093</x:v>
      </x:c>
      <x:c r="AE6" s="22" t="n">
        <x:v>95.2</x:v>
      </x:c>
      <x:c r="AF6" s="22" t="n">
        <x:v>71.1</x:v>
      </x:c>
      <x:c r="AG6" s="22" t="n">
        <x:v>0.7</x:v>
      </x:c>
      <x:c r="AH6" s="22"/>
      <x:c r="AI6" s="22"/>
      <x:c r="AJ6" s="22"/>
      <x:c r="AK6" s="22"/>
      <x:c r="AL6" s="22"/>
      <x:c r="AM6" s="22" t="str">
        <x:v>methotrexate</x:v>
      </x:c>
      <x:c r="AN6" s="22" t="str">
        <x:v>film permeability screen / later reservoir</x:v>
      </x:c>
      <x:c r="AO6" s="22" t="str">
        <x:v>HFF only; not final MN reservoir</x:v>
      </x:c>
      <x:c r="AP6" s="22"/>
      <x:c r="AQ6" s="20"/>
      <x:c r="AR6" s="20" t="str">
        <x:v>HFF formulation screen at 130°C/40 min</x:v>
      </x:c>
      <x:c r="AS6" s="20" t="str">
        <x:v>https://pureadmin.qub.ac.uk/ws/portalfiles/portal/213540647/Arrays.pdf</x:v>
      </x:c>
      <x:c r="AT6" s="20" t="str">
        <x:v>Lines 223–234: formulation table. Lines 605–618: thickness/Fmax/%SE/%GF. Lines 588–594: discarded formulations.</x:v>
      </x:c>
    </x:row>
    <x:row r="7">
      <x:c r="A7" s="20" t="str">
        <x:v>TEK2020_HFF40_F4</x:v>
      </x:c>
      <x:c r="B7" s="20" t="str">
        <x:v>TEK2020_MTX</x:v>
      </x:c>
      <x:c r="C7" s="20" t="str">
        <x:v>hydrogel_film_screen</x:v>
      </x:c>
      <x:c r="D7" s="20" t="str">
        <x:v>F4</x:v>
      </x:c>
      <x:c r="E7" s="20" t="str">
        <x:v>model_ready</x:v>
      </x:c>
      <x:c r="F7" s="22" t="n">
        <x:v>15</x:v>
      </x:c>
      <x:c r="G7" s="22" t="n">
        <x:v>0</x:v>
      </x:c>
      <x:c r="H7" s="22" t="n">
        <x:v>3</x:v>
      </x:c>
      <x:c r="I7" s="22"/>
      <x:c r="J7" s="22"/>
      <x:c r="K7" s="22"/>
      <x:c r="L7" s="22"/>
      <x:c r="M7" s="22"/>
      <x:c r="N7" s="22" t="n">
        <x:v>82</x:v>
      </x:c>
      <x:c r="O7" s="22" t="n">
        <x:v>130</x:v>
      </x:c>
      <x:c r="P7" s="22" t="n">
        <x:v>40</x:v>
      </x:c>
      <x:c r="Q7" s="22" t="str">
        <x:v>film dried; details in source</x:v>
      </x:c>
      <x:c r="R7" s="22"/>
      <x:c r="S7" s="22"/>
      <x:c r="T7" s="22"/>
      <x:c r="U7" s="22"/>
      <x:c r="V7" s="22"/>
      <x:c r="W7" s="22"/>
      <x:c r="X7" s="22"/>
      <x:c r="Y7" s="22"/>
      <x:c r="Z7" s="22"/>
      <x:c r="AA7" s="22" t="n">
        <x:v>0.74</x:v>
      </x:c>
      <x:c r="AB7" s="22" t="n">
        <x:v>7.2</x:v>
      </x:c>
      <x:c r="AC7" s="22" t="n">
        <x:v>2.2</x:v>
      </x:c>
      <x:c r="AD7" s="22" t="n">
        <x:v>721.3</x:v>
      </x:c>
      <x:c r="AE7" s="22" t="n">
        <x:v>40.7</x:v>
      </x:c>
      <x:c r="AF7" s="22" t="n">
        <x:v>77.3</x:v>
      </x:c>
      <x:c r="AG7" s="22" t="n">
        <x:v>1.4</x:v>
      </x:c>
      <x:c r="AH7" s="22"/>
      <x:c r="AI7" s="22"/>
      <x:c r="AJ7" s="22"/>
      <x:c r="AK7" s="22"/>
      <x:c r="AL7" s="22"/>
      <x:c r="AM7" s="22" t="str">
        <x:v>methotrexate</x:v>
      </x:c>
      <x:c r="AN7" s="22" t="str">
        <x:v>film permeability screen / later reservoir</x:v>
      </x:c>
      <x:c r="AO7" s="22" t="str">
        <x:v>HFF only; not final MN reservoir</x:v>
      </x:c>
      <x:c r="AP7" s="22"/>
      <x:c r="AQ7" s="20"/>
      <x:c r="AR7" s="20" t="str">
        <x:v>HFF formulation screen at 130°C/40 min</x:v>
      </x:c>
      <x:c r="AS7" s="20" t="str">
        <x:v>https://pureadmin.qub.ac.uk/ws/portalfiles/portal/213540647/Arrays.pdf</x:v>
      </x:c>
      <x:c r="AT7" s="20" t="str">
        <x:v>Lines 223–234: formulation table. Lines 605–618: thickness/Fmax/%SE/%GF. Lines 588–594: discarded formulations.</x:v>
      </x:c>
    </x:row>
    <x:row r="8">
      <x:c r="A8" s="20" t="str">
        <x:v>TEK2020_HFF40_F5</x:v>
      </x:c>
      <x:c r="B8" s="20" t="str">
        <x:v>TEK2020_MTX</x:v>
      </x:c>
      <x:c r="C8" s="20" t="str">
        <x:v>hydrogel_film_screen</x:v>
      </x:c>
      <x:c r="D8" s="20" t="str">
        <x:v>F5</x:v>
      </x:c>
      <x:c r="E8" s="20" t="str">
        <x:v>screening_status_only</x:v>
      </x:c>
      <x:c r="F8" s="22" t="n">
        <x:v>15</x:v>
      </x:c>
      <x:c r="G8" s="22" t="n">
        <x:v>0</x:v>
      </x:c>
      <x:c r="H8" s="22" t="n">
        <x:v>1.5</x:v>
      </x:c>
      <x:c r="I8" s="22"/>
      <x:c r="J8" s="22"/>
      <x:c r="K8" s="22"/>
      <x:c r="L8" s="22" t="n">
        <x:v>5</x:v>
      </x:c>
      <x:c r="M8" s="22"/>
      <x:c r="N8" s="22" t="n">
        <x:v>78.5</x:v>
      </x:c>
      <x:c r="O8" s="22" t="n">
        <x:v>130</x:v>
      </x:c>
      <x:c r="P8" s="22" t="n">
        <x:v>40</x:v>
      </x:c>
      <x:c r="Q8" s="22" t="str">
        <x:v>film dried; details in source</x:v>
      </x:c>
      <x:c r="R8" s="22"/>
      <x:c r="S8" s="22"/>
      <x:c r="T8" s="22"/>
      <x:c r="U8" s="22"/>
      <x:c r="V8" s="22"/>
      <x:c r="W8" s="22"/>
      <x:c r="X8" s="22"/>
      <x:c r="Y8" s="22"/>
      <x:c r="Z8" s="22"/>
      <x:c r="AA8" s="22"/>
      <x:c r="AB8" s="22"/>
      <x:c r="AC8" s="22"/>
      <x:c r="AD8" s="22"/>
      <x:c r="AE8" s="22"/>
      <x:c r="AF8" s="22"/>
      <x:c r="AG8" s="22"/>
      <x:c r="AH8" s="22"/>
      <x:c r="AI8" s="22"/>
      <x:c r="AJ8" s="22"/>
      <x:c r="AK8" s="22"/>
      <x:c r="AL8" s="22"/>
      <x:c r="AM8" s="22" t="str">
        <x:v>methotrexate</x:v>
      </x:c>
      <x:c r="AN8" s="22" t="str">
        <x:v>film permeability screen / later reservoir</x:v>
      </x:c>
      <x:c r="AO8" s="22" t="str">
        <x:v>HFF only; not final MN reservoir</x:v>
      </x:c>
      <x:c r="AP8" s="22"/>
      <x:c r="AQ8" s="20"/>
      <x:c r="AR8" s="20" t="str">
        <x:v>Flexible; dissolved; ND</x:v>
      </x:c>
      <x:c r="AS8" s="20" t="str">
        <x:v>https://pureadmin.qub.ac.uk/ws/portalfiles/portal/213540647/Arrays.pdf</x:v>
      </x:c>
      <x:c r="AT8" s="20" t="str">
        <x:v>Lines 223–234: formulation table. Lines 605–618: thickness/Fmax/%SE/%GF. Lines 588–594: discarded formulations.</x:v>
      </x:c>
    </x:row>
    <x:row r="9">
      <x:c r="A9" s="20" t="str">
        <x:v>TEK2020_HFF40_F6</x:v>
      </x:c>
      <x:c r="B9" s="20" t="str">
        <x:v>TEK2020_MTX</x:v>
      </x:c>
      <x:c r="C9" s="20" t="str">
        <x:v>hydrogel_film_screen</x:v>
      </x:c>
      <x:c r="D9" s="20" t="str">
        <x:v>F6</x:v>
      </x:c>
      <x:c r="E9" s="20" t="str">
        <x:v>screening_status_only</x:v>
      </x:c>
      <x:c r="F9" s="22" t="n">
        <x:v>15</x:v>
      </x:c>
      <x:c r="G9" s="22" t="n">
        <x:v>0</x:v>
      </x:c>
      <x:c r="H9" s="22" t="n">
        <x:v>1.5</x:v>
      </x:c>
      <x:c r="I9" s="22"/>
      <x:c r="J9" s="22"/>
      <x:c r="K9" s="22" t="n">
        <x:v>5</x:v>
      </x:c>
      <x:c r="L9" s="22"/>
      <x:c r="M9" s="22"/>
      <x:c r="N9" s="22" t="n">
        <x:v>78.5</x:v>
      </x:c>
      <x:c r="O9" s="22" t="n">
        <x:v>130</x:v>
      </x:c>
      <x:c r="P9" s="22" t="n">
        <x:v>40</x:v>
      </x:c>
      <x:c r="Q9" s="22" t="str">
        <x:v>film dried; details in source</x:v>
      </x:c>
      <x:c r="R9" s="22"/>
      <x:c r="S9" s="22"/>
      <x:c r="T9" s="22"/>
      <x:c r="U9" s="22"/>
      <x:c r="V9" s="22"/>
      <x:c r="W9" s="22"/>
      <x:c r="X9" s="22"/>
      <x:c r="Y9" s="22"/>
      <x:c r="Z9" s="22"/>
      <x:c r="AA9" s="22"/>
      <x:c r="AB9" s="22"/>
      <x:c r="AC9" s="22"/>
      <x:c r="AD9" s="22"/>
      <x:c r="AE9" s="22"/>
      <x:c r="AF9" s="22"/>
      <x:c r="AG9" s="22"/>
      <x:c r="AH9" s="22"/>
      <x:c r="AI9" s="22"/>
      <x:c r="AJ9" s="22"/>
      <x:c r="AK9" s="22"/>
      <x:c r="AL9" s="22"/>
      <x:c r="AM9" s="22" t="str">
        <x:v>methotrexate</x:v>
      </x:c>
      <x:c r="AN9" s="22" t="str">
        <x:v>film permeability screen / later reservoir</x:v>
      </x:c>
      <x:c r="AO9" s="22" t="str">
        <x:v>HFF only; not final MN reservoir</x:v>
      </x:c>
      <x:c r="AP9" s="22"/>
      <x:c r="AQ9" s="20"/>
      <x:c r="AR9" s="20" t="str">
        <x:v>Not prepared due to incompatibility; ND</x:v>
      </x:c>
      <x:c r="AS9" s="20" t="str">
        <x:v>https://pureadmin.qub.ac.uk/ws/portalfiles/portal/213540647/Arrays.pdf</x:v>
      </x:c>
      <x:c r="AT9" s="20" t="str">
        <x:v>Lines 223–234: formulation table. Lines 605–618: thickness/Fmax/%SE/%GF. Lines 588–594: discarded formulations.</x:v>
      </x:c>
    </x:row>
    <x:row r="10">
      <x:c r="A10" s="20" t="str">
        <x:v>TEK2020_HFF40_F7</x:v>
      </x:c>
      <x:c r="B10" s="20" t="str">
        <x:v>TEK2020_MTX</x:v>
      </x:c>
      <x:c r="C10" s="20" t="str">
        <x:v>hydrogel_film_screen</x:v>
      </x:c>
      <x:c r="D10" s="20" t="str">
        <x:v>F7</x:v>
      </x:c>
      <x:c r="E10" s="20" t="str">
        <x:v>screening_status_only</x:v>
      </x:c>
      <x:c r="F10" s="22" t="n">
        <x:v>15</x:v>
      </x:c>
      <x:c r="G10" s="22" t="n">
        <x:v>0</x:v>
      </x:c>
      <x:c r="H10" s="22" t="n">
        <x:v>1.5</x:v>
      </x:c>
      <x:c r="I10" s="22"/>
      <x:c r="J10" s="22" t="n">
        <x:v>5</x:v>
      </x:c>
      <x:c r="K10" s="22"/>
      <x:c r="L10" s="22"/>
      <x:c r="M10" s="22"/>
      <x:c r="N10" s="22" t="n">
        <x:v>78.5</x:v>
      </x:c>
      <x:c r="O10" s="22" t="n">
        <x:v>130</x:v>
      </x:c>
      <x:c r="P10" s="22" t="n">
        <x:v>40</x:v>
      </x:c>
      <x:c r="Q10" s="22" t="str">
        <x:v>film dried; details in source</x:v>
      </x:c>
      <x:c r="R10" s="22"/>
      <x:c r="S10" s="22"/>
      <x:c r="T10" s="22"/>
      <x:c r="U10" s="22"/>
      <x:c r="V10" s="22"/>
      <x:c r="W10" s="22"/>
      <x:c r="X10" s="22"/>
      <x:c r="Y10" s="22"/>
      <x:c r="Z10" s="22"/>
      <x:c r="AA10" s="22"/>
      <x:c r="AB10" s="22"/>
      <x:c r="AC10" s="22"/>
      <x:c r="AD10" s="22"/>
      <x:c r="AE10" s="22"/>
      <x:c r="AF10" s="22"/>
      <x:c r="AG10" s="22"/>
      <x:c r="AH10" s="22"/>
      <x:c r="AI10" s="22"/>
      <x:c r="AJ10" s="22"/>
      <x:c r="AK10" s="22"/>
      <x:c r="AL10" s="22"/>
      <x:c r="AM10" s="22" t="str">
        <x:v>methotrexate</x:v>
      </x:c>
      <x:c r="AN10" s="22" t="str">
        <x:v>film permeability screen / later reservoir</x:v>
      </x:c>
      <x:c r="AO10" s="22" t="str">
        <x:v>HFF only; not final MN reservoir</x:v>
      </x:c>
      <x:c r="AP10" s="22"/>
      <x:c r="AQ10" s="20"/>
      <x:c r="AR10" s="20" t="str">
        <x:v>Not prepared due to incompatibility; ND</x:v>
      </x:c>
      <x:c r="AS10" s="20" t="str">
        <x:v>https://pureadmin.qub.ac.uk/ws/portalfiles/portal/213540647/Arrays.pdf</x:v>
      </x:c>
      <x:c r="AT10" s="20" t="str">
        <x:v>Lines 223–234: formulation table. Lines 605–618: thickness/Fmax/%SE/%GF. Lines 588–594: discarded formulations.</x:v>
      </x:c>
    </x:row>
    <x:row r="11">
      <x:c r="A11" s="20" t="str">
        <x:v>TEK2020_HFF40_F8</x:v>
      </x:c>
      <x:c r="B11" s="20" t="str">
        <x:v>TEK2020_MTX</x:v>
      </x:c>
      <x:c r="C11" s="20" t="str">
        <x:v>hydrogel_film_screen</x:v>
      </x:c>
      <x:c r="D11" s="20" t="str">
        <x:v>F8</x:v>
      </x:c>
      <x:c r="E11" s="20" t="str">
        <x:v>model_ready</x:v>
      </x:c>
      <x:c r="F11" s="22" t="n">
        <x:v>15</x:v>
      </x:c>
      <x:c r="G11" s="22" t="n">
        <x:v>5</x:v>
      </x:c>
      <x:c r="H11" s="22" t="n">
        <x:v>1.5</x:v>
      </x:c>
      <x:c r="I11" s="22"/>
      <x:c r="J11" s="22"/>
      <x:c r="K11" s="22"/>
      <x:c r="L11" s="22"/>
      <x:c r="M11" s="22"/>
      <x:c r="N11" s="22" t="n">
        <x:v>78.5</x:v>
      </x:c>
      <x:c r="O11" s="22" t="n">
        <x:v>130</x:v>
      </x:c>
      <x:c r="P11" s="22" t="n">
        <x:v>40</x:v>
      </x:c>
      <x:c r="Q11" s="22" t="str">
        <x:v>film dried; details in source</x:v>
      </x:c>
      <x:c r="R11" s="22"/>
      <x:c r="S11" s="22"/>
      <x:c r="T11" s="22"/>
      <x:c r="U11" s="22"/>
      <x:c r="V11" s="22"/>
      <x:c r="W11" s="22"/>
      <x:c r="X11" s="22"/>
      <x:c r="Y11" s="22"/>
      <x:c r="Z11" s="22"/>
      <x:c r="AA11" s="22" t="n">
        <x:v>0.87</x:v>
      </x:c>
      <x:c r="AB11" s="22" t="n">
        <x:v>16.5</x:v>
      </x:c>
      <x:c r="AC11" s="22" t="n">
        <x:v>2.7</x:v>
      </x:c>
      <x:c r="AD11" s="22" t="n">
        <x:v>625.6</x:v>
      </x:c>
      <x:c r="AE11" s="22" t="n">
        <x:v>66.6</x:v>
      </x:c>
      <x:c r="AF11" s="22" t="n">
        <x:v>73.8</x:v>
      </x:c>
      <x:c r="AG11" s="22" t="n">
        <x:v>0.3</x:v>
      </x:c>
      <x:c r="AH11" s="22"/>
      <x:c r="AI11" s="22"/>
      <x:c r="AJ11" s="22"/>
      <x:c r="AK11" s="22"/>
      <x:c r="AL11" s="22"/>
      <x:c r="AM11" s="22" t="str">
        <x:v>methotrexate</x:v>
      </x:c>
      <x:c r="AN11" s="22" t="str">
        <x:v>film permeability screen / later reservoir</x:v>
      </x:c>
      <x:c r="AO11" s="22" t="str">
        <x:v>HFF only; not final MN reservoir</x:v>
      </x:c>
      <x:c r="AP11" s="22"/>
      <x:c r="AQ11" s="20"/>
      <x:c r="AR11" s="20" t="str">
        <x:v>HFF formulation screen at 130°C/40 min</x:v>
      </x:c>
      <x:c r="AS11" s="20" t="str">
        <x:v>https://pureadmin.qub.ac.uk/ws/portalfiles/portal/213540647/Arrays.pdf</x:v>
      </x:c>
      <x:c r="AT11" s="20" t="str">
        <x:v>Lines 223–234: formulation table. Lines 605–618: thickness/Fmax/%SE/%GF. Lines 588–594: discarded formulations.</x:v>
      </x:c>
    </x:row>
    <x:row r="12">
      <x:c r="A12" s="20" t="str">
        <x:v>TEK2020_HFF40_F9</x:v>
      </x:c>
      <x:c r="B12" s="20" t="str">
        <x:v>TEK2020_MTX</x:v>
      </x:c>
      <x:c r="C12" s="20" t="str">
        <x:v>hydrogel_film_screen</x:v>
      </x:c>
      <x:c r="D12" s="20" t="str">
        <x:v>F9</x:v>
      </x:c>
      <x:c r="E12" s="20" t="str">
        <x:v>model_ready</x:v>
      </x:c>
      <x:c r="F12" s="22" t="n">
        <x:v>15</x:v>
      </x:c>
      <x:c r="G12" s="22" t="n">
        <x:v>7.5</x:v>
      </x:c>
      <x:c r="H12" s="22" t="n">
        <x:v>1.5</x:v>
      </x:c>
      <x:c r="I12" s="22"/>
      <x:c r="J12" s="22"/>
      <x:c r="K12" s="22"/>
      <x:c r="L12" s="22"/>
      <x:c r="M12" s="22"/>
      <x:c r="N12" s="22" t="n">
        <x:v>76</x:v>
      </x:c>
      <x:c r="O12" s="22" t="n">
        <x:v>130</x:v>
      </x:c>
      <x:c r="P12" s="22" t="n">
        <x:v>40</x:v>
      </x:c>
      <x:c r="Q12" s="22" t="str">
        <x:v>film dried; details in source</x:v>
      </x:c>
      <x:c r="R12" s="22"/>
      <x:c r="S12" s="22"/>
      <x:c r="T12" s="22"/>
      <x:c r="U12" s="22"/>
      <x:c r="V12" s="22"/>
      <x:c r="W12" s="22"/>
      <x:c r="X12" s="22"/>
      <x:c r="Y12" s="22"/>
      <x:c r="Z12" s="22"/>
      <x:c r="AA12" s="22" t="n">
        <x:v>0.92</x:v>
      </x:c>
      <x:c r="AB12" s="22" t="n">
        <x:v>18.5</x:v>
      </x:c>
      <x:c r="AC12" s="22" t="n">
        <x:v>2.5</x:v>
      </x:c>
      <x:c r="AD12" s="22" t="n">
        <x:v>593</x:v>
      </x:c>
      <x:c r="AE12" s="22" t="n">
        <x:v>24.7</x:v>
      </x:c>
      <x:c r="AF12" s="22" t="n">
        <x:v>74.9</x:v>
      </x:c>
      <x:c r="AG12" s="22" t="n">
        <x:v>1.2</x:v>
      </x:c>
      <x:c r="AH12" s="22"/>
      <x:c r="AI12" s="22"/>
      <x:c r="AJ12" s="22"/>
      <x:c r="AK12" s="22"/>
      <x:c r="AL12" s="22"/>
      <x:c r="AM12" s="22" t="str">
        <x:v>methotrexate</x:v>
      </x:c>
      <x:c r="AN12" s="22" t="str">
        <x:v>film permeability screen / later reservoir</x:v>
      </x:c>
      <x:c r="AO12" s="22" t="str">
        <x:v>HFF only; not final MN reservoir</x:v>
      </x:c>
      <x:c r="AP12" s="22"/>
      <x:c r="AQ12" s="20"/>
      <x:c r="AR12" s="20" t="str">
        <x:v>HFF formulation screen at 130°C/40 min</x:v>
      </x:c>
      <x:c r="AS12" s="20" t="str">
        <x:v>https://pureadmin.qub.ac.uk/ws/portalfiles/portal/213540647/Arrays.pdf</x:v>
      </x:c>
      <x:c r="AT12" s="20" t="str">
        <x:v>Lines 223–234: formulation table. Lines 605–618: thickness/Fmax/%SE/%GF. Lines 588–594: discarded formulations.</x:v>
      </x:c>
    </x:row>
    <x:row r="13">
      <x:c r="A13" s="20" t="str">
        <x:v>TEK2020_HFF40_F10</x:v>
      </x:c>
      <x:c r="B13" s="20" t="str">
        <x:v>TEK2020_MTX</x:v>
      </x:c>
      <x:c r="C13" s="20" t="str">
        <x:v>hydrogel_film_screen</x:v>
      </x:c>
      <x:c r="D13" s="20" t="str">
        <x:v>F10</x:v>
      </x:c>
      <x:c r="E13" s="20" t="str">
        <x:v>model_ready</x:v>
      </x:c>
      <x:c r="F13" s="22" t="n">
        <x:v>15</x:v>
      </x:c>
      <x:c r="G13" s="22" t="n">
        <x:v>10</x:v>
      </x:c>
      <x:c r="H13" s="22" t="n">
        <x:v>1.5</x:v>
      </x:c>
      <x:c r="I13" s="22"/>
      <x:c r="J13" s="22"/>
      <x:c r="K13" s="22"/>
      <x:c r="L13" s="22"/>
      <x:c r="M13" s="22"/>
      <x:c r="N13" s="22" t="n">
        <x:v>73.5</x:v>
      </x:c>
      <x:c r="O13" s="22" t="n">
        <x:v>130</x:v>
      </x:c>
      <x:c r="P13" s="22" t="n">
        <x:v>40</x:v>
      </x:c>
      <x:c r="Q13" s="22" t="str">
        <x:v>film dried; details in source</x:v>
      </x:c>
      <x:c r="R13" s="22"/>
      <x:c r="S13" s="22"/>
      <x:c r="T13" s="22"/>
      <x:c r="U13" s="22"/>
      <x:c r="V13" s="22"/>
      <x:c r="W13" s="22"/>
      <x:c r="X13" s="22"/>
      <x:c r="Y13" s="22"/>
      <x:c r="Z13" s="22"/>
      <x:c r="AA13" s="22" t="n">
        <x:v>0.99</x:v>
      </x:c>
      <x:c r="AB13" s="22" t="n">
        <x:v>29</x:v>
      </x:c>
      <x:c r="AC13" s="22" t="n">
        <x:v>3.6</x:v>
      </x:c>
      <x:c r="AD13" s="22" t="n">
        <x:v>492.1</x:v>
      </x:c>
      <x:c r="AE13" s="22" t="n">
        <x:v>33.4</x:v>
      </x:c>
      <x:c r="AF13" s="22" t="n">
        <x:v>79.7</x:v>
      </x:c>
      <x:c r="AG13" s="22" t="n">
        <x:v>1</x:v>
      </x:c>
      <x:c r="AH13" s="22"/>
      <x:c r="AI13" s="22"/>
      <x:c r="AJ13" s="22"/>
      <x:c r="AK13" s="22"/>
      <x:c r="AL13" s="22"/>
      <x:c r="AM13" s="22" t="str">
        <x:v>methotrexate</x:v>
      </x:c>
      <x:c r="AN13" s="22" t="str">
        <x:v>film permeability screen / later reservoir</x:v>
      </x:c>
      <x:c r="AO13" s="22" t="str">
        <x:v>HFF only; not final MN reservoir</x:v>
      </x:c>
      <x:c r="AP13" s="22"/>
      <x:c r="AQ13" s="20"/>
      <x:c r="AR13" s="20" t="str">
        <x:v>HFF formulation screen at 130°C/40 min</x:v>
      </x:c>
      <x:c r="AS13" s="20" t="str">
        <x:v>https://pureadmin.qub.ac.uk/ws/portalfiles/portal/213540647/Arrays.pdf</x:v>
      </x:c>
      <x:c r="AT13" s="20" t="str">
        <x:v>Lines 223–234: formulation table. Lines 605–618: thickness/Fmax/%SE/%GF. Lines 588–594: discarded formulations.</x:v>
      </x:c>
    </x:row>
    <x:row r="14">
      <x:c r="A14" s="20" t="str">
        <x:v>TEK2020_HFF120_F3</x:v>
      </x:c>
      <x:c r="B14" s="20" t="str">
        <x:v>TEK2020_MTX</x:v>
      </x:c>
      <x:c r="C14" s="20" t="str">
        <x:v>hydrogel_film_crosslink_time</x:v>
      </x:c>
      <x:c r="D14" s="20" t="str">
        <x:v>F3</x:v>
      </x:c>
      <x:c r="E14" s="20" t="str">
        <x:v>model_ready</x:v>
      </x:c>
      <x:c r="F14" s="22" t="n">
        <x:v>15</x:v>
      </x:c>
      <x:c r="G14" s="22" t="n">
        <x:v>0</x:v>
      </x:c>
      <x:c r="H14" s="22" t="n">
        <x:v>1.5</x:v>
      </x:c>
      <x:c r="I14" s="22"/>
      <x:c r="J14" s="22"/>
      <x:c r="K14" s="22"/>
      <x:c r="L14" s="22"/>
      <x:c r="M14" s="22"/>
      <x:c r="N14" s="22" t="n">
        <x:v>83.5</x:v>
      </x:c>
      <x:c r="O14" s="22" t="n">
        <x:v>130</x:v>
      </x:c>
      <x:c r="P14" s="22" t="n">
        <x:v>120</x:v>
      </x:c>
      <x:c r="Q14" s="22" t="str">
        <x:v>film dried; details in source</x:v>
      </x:c>
      <x:c r="R14" s="22"/>
      <x:c r="S14" s="22"/>
      <x:c r="T14" s="22"/>
      <x:c r="U14" s="22"/>
      <x:c r="V14" s="22"/>
      <x:c r="W14" s="22"/>
      <x:c r="X14" s="22"/>
      <x:c r="Y14" s="22"/>
      <x:c r="Z14" s="22"/>
      <x:c r="AA14" s="22"/>
      <x:c r="AB14" s="22" t="n">
        <x:v>12.1</x:v>
      </x:c>
      <x:c r="AC14" s="22" t="n">
        <x:v>2.5</x:v>
      </x:c>
      <x:c r="AD14" s="22" t="n">
        <x:v>194.1</x:v>
      </x:c>
      <x:c r="AE14" s="22" t="n">
        <x:v>5.1</x:v>
      </x:c>
      <x:c r="AF14" s="22" t="n">
        <x:v>94.8</x:v>
      </x:c>
      <x:c r="AG14" s="22" t="n">
        <x:v>1</x:v>
      </x:c>
      <x:c r="AH14" s="22"/>
      <x:c r="AI14" s="22"/>
      <x:c r="AJ14" s="22"/>
      <x:c r="AK14" s="22"/>
      <x:c r="AL14" s="22"/>
      <x:c r="AM14" s="22" t="str">
        <x:v>methotrexate</x:v>
      </x:c>
      <x:c r="AN14" s="22" t="str">
        <x:v>film permeability screen / later reservoir</x:v>
      </x:c>
      <x:c r="AO14" s="22" t="str">
        <x:v>HFF only; not final MN reservoir</x:v>
      </x:c>
      <x:c r="AP14" s="22"/>
      <x:c r="AQ14" s="20"/>
      <x:c r="AR14" s="20" t="str">
        <x:v>Crosslinking time optimization for selected HFFs.</x:v>
      </x:c>
      <x:c r="AS14" s="20" t="str">
        <x:v>https://pureadmin.qub.ac.uk/ws/portalfiles/portal/213540647/Arrays.pdf</x:v>
      </x:c>
      <x:c r="AT14" s="20" t="str">
        <x:v>Lines 675–684: Table 4 Fmax/%SE/%GF at 120 and 180 min; Lines 685–712: increasing time raised %GF and Fmax and reduced %SE.</x:v>
      </x:c>
    </x:row>
    <x:row r="15">
      <x:c r="A15" s="20" t="str">
        <x:v>TEK2020_HFF120_F8</x:v>
      </x:c>
      <x:c r="B15" s="20" t="str">
        <x:v>TEK2020_MTX</x:v>
      </x:c>
      <x:c r="C15" s="20" t="str">
        <x:v>hydrogel_film_crosslink_time</x:v>
      </x:c>
      <x:c r="D15" s="20" t="str">
        <x:v>F8</x:v>
      </x:c>
      <x:c r="E15" s="20" t="str">
        <x:v>model_ready</x:v>
      </x:c>
      <x:c r="F15" s="22" t="n">
        <x:v>15</x:v>
      </x:c>
      <x:c r="G15" s="22" t="n">
        <x:v>5</x:v>
      </x:c>
      <x:c r="H15" s="22" t="n">
        <x:v>1.5</x:v>
      </x:c>
      <x:c r="I15" s="22"/>
      <x:c r="J15" s="22"/>
      <x:c r="K15" s="22"/>
      <x:c r="L15" s="22"/>
      <x:c r="M15" s="22"/>
      <x:c r="N15" s="22" t="n">
        <x:v>78.5</x:v>
      </x:c>
      <x:c r="O15" s="22" t="n">
        <x:v>130</x:v>
      </x:c>
      <x:c r="P15" s="22" t="n">
        <x:v>120</x:v>
      </x:c>
      <x:c r="Q15" s="22" t="str">
        <x:v>film dried; details in source</x:v>
      </x:c>
      <x:c r="R15" s="22"/>
      <x:c r="S15" s="22"/>
      <x:c r="T15" s="22"/>
      <x:c r="U15" s="22"/>
      <x:c r="V15" s="22"/>
      <x:c r="W15" s="22"/>
      <x:c r="X15" s="22"/>
      <x:c r="Y15" s="22"/>
      <x:c r="Z15" s="22"/>
      <x:c r="AA15" s="22"/>
      <x:c r="AB15" s="22" t="n">
        <x:v>29.8</x:v>
      </x:c>
      <x:c r="AC15" s="22" t="n">
        <x:v>2.7</x:v>
      </x:c>
      <x:c r="AD15" s="22" t="n">
        <x:v>374.9</x:v>
      </x:c>
      <x:c r="AE15" s="22" t="n">
        <x:v>10.2</x:v>
      </x:c>
      <x:c r="AF15" s="22" t="n">
        <x:v>89.3</x:v>
      </x:c>
      <x:c r="AG15" s="22" t="n">
        <x:v>1.6</x:v>
      </x:c>
      <x:c r="AH15" s="22"/>
      <x:c r="AI15" s="22"/>
      <x:c r="AJ15" s="22"/>
      <x:c r="AK15" s="22"/>
      <x:c r="AL15" s="22"/>
      <x:c r="AM15" s="22" t="str">
        <x:v>methotrexate</x:v>
      </x:c>
      <x:c r="AN15" s="22" t="str">
        <x:v>film permeability screen / later reservoir</x:v>
      </x:c>
      <x:c r="AO15" s="22" t="str">
        <x:v>HFF only; not final MN reservoir</x:v>
      </x:c>
      <x:c r="AP15" s="22"/>
      <x:c r="AQ15" s="20"/>
      <x:c r="AR15" s="20" t="str">
        <x:v>Crosslinking time optimization for selected HFFs.</x:v>
      </x:c>
      <x:c r="AS15" s="20" t="str">
        <x:v>https://pureadmin.qub.ac.uk/ws/portalfiles/portal/213540647/Arrays.pdf</x:v>
      </x:c>
      <x:c r="AT15" s="20" t="str">
        <x:v>Lines 675–684: Table 4 Fmax/%SE/%GF at 120 and 180 min; Lines 685–712: increasing time raised %GF and Fmax and reduced %SE.</x:v>
      </x:c>
    </x:row>
    <x:row r="16">
      <x:c r="A16" s="20" t="str">
        <x:v>TEK2020_HFF120_F10</x:v>
      </x:c>
      <x:c r="B16" s="20" t="str">
        <x:v>TEK2020_MTX</x:v>
      </x:c>
      <x:c r="C16" s="20" t="str">
        <x:v>hydrogel_film_crosslink_time</x:v>
      </x:c>
      <x:c r="D16" s="20" t="str">
        <x:v>F10</x:v>
      </x:c>
      <x:c r="E16" s="20" t="str">
        <x:v>model_ready</x:v>
      </x:c>
      <x:c r="F16" s="22" t="n">
        <x:v>15</x:v>
      </x:c>
      <x:c r="G16" s="22" t="n">
        <x:v>10</x:v>
      </x:c>
      <x:c r="H16" s="22" t="n">
        <x:v>1.5</x:v>
      </x:c>
      <x:c r="I16" s="22"/>
      <x:c r="J16" s="22"/>
      <x:c r="K16" s="22"/>
      <x:c r="L16" s="22"/>
      <x:c r="M16" s="22"/>
      <x:c r="N16" s="22" t="n">
        <x:v>73.5</x:v>
      </x:c>
      <x:c r="O16" s="22" t="n">
        <x:v>130</x:v>
      </x:c>
      <x:c r="P16" s="22" t="n">
        <x:v>120</x:v>
      </x:c>
      <x:c r="Q16" s="22" t="str">
        <x:v>film dried; details in source</x:v>
      </x:c>
      <x:c r="R16" s="22"/>
      <x:c r="S16" s="22"/>
      <x:c r="T16" s="22"/>
      <x:c r="U16" s="22"/>
      <x:c r="V16" s="22"/>
      <x:c r="W16" s="22"/>
      <x:c r="X16" s="22"/>
      <x:c r="Y16" s="22"/>
      <x:c r="Z16" s="22"/>
      <x:c r="AA16" s="22"/>
      <x:c r="AB16" s="22" t="n">
        <x:v>37.4</x:v>
      </x:c>
      <x:c r="AC16" s="22" t="n">
        <x:v>2.3</x:v>
      </x:c>
      <x:c r="AD16" s="22" t="n">
        <x:v>475</x:v>
      </x:c>
      <x:c r="AE16" s="22" t="n">
        <x:v>15.9</x:v>
      </x:c>
      <x:c r="AF16" s="22" t="n">
        <x:v>82.1</x:v>
      </x:c>
      <x:c r="AG16" s="22" t="n">
        <x:v>1.9</x:v>
      </x:c>
      <x:c r="AH16" s="22"/>
      <x:c r="AI16" s="22"/>
      <x:c r="AJ16" s="22"/>
      <x:c r="AK16" s="22"/>
      <x:c r="AL16" s="22"/>
      <x:c r="AM16" s="22" t="str">
        <x:v>methotrexate</x:v>
      </x:c>
      <x:c r="AN16" s="22" t="str">
        <x:v>film permeability screen / later reservoir</x:v>
      </x:c>
      <x:c r="AO16" s="22" t="str">
        <x:v>HFF only; not final MN reservoir</x:v>
      </x:c>
      <x:c r="AP16" s="22"/>
      <x:c r="AQ16" s="20"/>
      <x:c r="AR16" s="20" t="str">
        <x:v>Crosslinking time optimization for selected HFFs.</x:v>
      </x:c>
      <x:c r="AS16" s="20" t="str">
        <x:v>https://pureadmin.qub.ac.uk/ws/portalfiles/portal/213540647/Arrays.pdf</x:v>
      </x:c>
      <x:c r="AT16" s="20" t="str">
        <x:v>Lines 675–684: Table 4 Fmax/%SE/%GF at 120 and 180 min; Lines 685–712: increasing time raised %GF and Fmax and reduced %SE.</x:v>
      </x:c>
    </x:row>
    <x:row r="17">
      <x:c r="A17" s="20" t="str">
        <x:v>TEK2020_HFF180_F3</x:v>
      </x:c>
      <x:c r="B17" s="20" t="str">
        <x:v>TEK2020_MTX</x:v>
      </x:c>
      <x:c r="C17" s="20" t="str">
        <x:v>hydrogel_film_crosslink_time</x:v>
      </x:c>
      <x:c r="D17" s="20" t="str">
        <x:v>F3</x:v>
      </x:c>
      <x:c r="E17" s="20" t="str">
        <x:v>model_ready</x:v>
      </x:c>
      <x:c r="F17" s="22" t="n">
        <x:v>15</x:v>
      </x:c>
      <x:c r="G17" s="22" t="n">
        <x:v>0</x:v>
      </x:c>
      <x:c r="H17" s="22" t="n">
        <x:v>1.5</x:v>
      </x:c>
      <x:c r="I17" s="22"/>
      <x:c r="J17" s="22"/>
      <x:c r="K17" s="22"/>
      <x:c r="L17" s="22"/>
      <x:c r="M17" s="22"/>
      <x:c r="N17" s="22" t="n">
        <x:v>83.5</x:v>
      </x:c>
      <x:c r="O17" s="22" t="n">
        <x:v>130</x:v>
      </x:c>
      <x:c r="P17" s="22" t="n">
        <x:v>180</x:v>
      </x:c>
      <x:c r="Q17" s="22" t="str">
        <x:v>film dried; details in source</x:v>
      </x:c>
      <x:c r="R17" s="22"/>
      <x:c r="S17" s="22"/>
      <x:c r="T17" s="22"/>
      <x:c r="U17" s="22"/>
      <x:c r="V17" s="22"/>
      <x:c r="W17" s="22"/>
      <x:c r="X17" s="22"/>
      <x:c r="Y17" s="22"/>
      <x:c r="Z17" s="22"/>
      <x:c r="AA17" s="22"/>
      <x:c r="AB17" s="22" t="n">
        <x:v>13.6</x:v>
      </x:c>
      <x:c r="AC17" s="22" t="n">
        <x:v>1.7</x:v>
      </x:c>
      <x:c r="AD17" s="22" t="n">
        <x:v>134.5</x:v>
      </x:c>
      <x:c r="AE17" s="22" t="n">
        <x:v>6.4</x:v>
      </x:c>
      <x:c r="AF17" s="22" t="n">
        <x:v>96.9</x:v>
      </x:c>
      <x:c r="AG17" s="22" t="n">
        <x:v>1</x:v>
      </x:c>
      <x:c r="AH17" s="22"/>
      <x:c r="AI17" s="22"/>
      <x:c r="AJ17" s="22"/>
      <x:c r="AK17" s="22"/>
      <x:c r="AL17" s="22"/>
      <x:c r="AM17" s="22" t="str">
        <x:v>methotrexate</x:v>
      </x:c>
      <x:c r="AN17" s="22" t="str">
        <x:v>film permeability screen / later reservoir</x:v>
      </x:c>
      <x:c r="AO17" s="22" t="str">
        <x:v>HFF only; not final MN reservoir</x:v>
      </x:c>
      <x:c r="AP17" s="22"/>
      <x:c r="AQ17" s="20"/>
      <x:c r="AR17" s="20" t="str">
        <x:v>Crosslinking time optimization for selected HFFs.</x:v>
      </x:c>
      <x:c r="AS17" s="20" t="str">
        <x:v>https://pureadmin.qub.ac.uk/ws/portalfiles/portal/213540647/Arrays.pdf</x:v>
      </x:c>
      <x:c r="AT17" s="20" t="str">
        <x:v>Lines 675–684: Table 4 Fmax/%SE/%GF at 120 and 180 min; Lines 685–712: increasing time raised %GF and Fmax and reduced %SE.</x:v>
      </x:c>
    </x:row>
    <x:row r="18">
      <x:c r="A18" s="20" t="str">
        <x:v>TEK2020_HFF180_F8</x:v>
      </x:c>
      <x:c r="B18" s="20" t="str">
        <x:v>TEK2020_MTX</x:v>
      </x:c>
      <x:c r="C18" s="20" t="str">
        <x:v>hydrogel_film_crosslink_time</x:v>
      </x:c>
      <x:c r="D18" s="20" t="str">
        <x:v>F8</x:v>
      </x:c>
      <x:c r="E18" s="20" t="str">
        <x:v>model_ready</x:v>
      </x:c>
      <x:c r="F18" s="22" t="n">
        <x:v>15</x:v>
      </x:c>
      <x:c r="G18" s="22" t="n">
        <x:v>5</x:v>
      </x:c>
      <x:c r="H18" s="22" t="n">
        <x:v>1.5</x:v>
      </x:c>
      <x:c r="I18" s="22"/>
      <x:c r="J18" s="22"/>
      <x:c r="K18" s="22"/>
      <x:c r="L18" s="22"/>
      <x:c r="M18" s="22"/>
      <x:c r="N18" s="22" t="n">
        <x:v>78.5</x:v>
      </x:c>
      <x:c r="O18" s="22" t="n">
        <x:v>130</x:v>
      </x:c>
      <x:c r="P18" s="22" t="n">
        <x:v>180</x:v>
      </x:c>
      <x:c r="Q18" s="22" t="str">
        <x:v>film dried; details in source</x:v>
      </x:c>
      <x:c r="R18" s="22"/>
      <x:c r="S18" s="22"/>
      <x:c r="T18" s="22"/>
      <x:c r="U18" s="22"/>
      <x:c r="V18" s="22"/>
      <x:c r="W18" s="22"/>
      <x:c r="X18" s="22"/>
      <x:c r="Y18" s="22"/>
      <x:c r="Z18" s="22"/>
      <x:c r="AA18" s="22"/>
      <x:c r="AB18" s="22" t="n">
        <x:v>35.6</x:v>
      </x:c>
      <x:c r="AC18" s="22" t="n">
        <x:v>3.7</x:v>
      </x:c>
      <x:c r="AD18" s="22" t="n">
        <x:v>255.9</x:v>
      </x:c>
      <x:c r="AE18" s="22" t="n">
        <x:v>6.4</x:v>
      </x:c>
      <x:c r="AF18" s="22" t="n">
        <x:v>94.3</x:v>
      </x:c>
      <x:c r="AG18" s="22" t="n">
        <x:v>1.6</x:v>
      </x:c>
      <x:c r="AH18" s="22"/>
      <x:c r="AI18" s="22"/>
      <x:c r="AJ18" s="22"/>
      <x:c r="AK18" s="22"/>
      <x:c r="AL18" s="22"/>
      <x:c r="AM18" s="22" t="str">
        <x:v>methotrexate</x:v>
      </x:c>
      <x:c r="AN18" s="22" t="str">
        <x:v>film permeability screen / later reservoir</x:v>
      </x:c>
      <x:c r="AO18" s="22" t="str">
        <x:v>HFF only; not final MN reservoir</x:v>
      </x:c>
      <x:c r="AP18" s="22"/>
      <x:c r="AQ18" s="20"/>
      <x:c r="AR18" s="20" t="str">
        <x:v>Crosslinking time optimization for selected HFFs.</x:v>
      </x:c>
      <x:c r="AS18" s="20" t="str">
        <x:v>https://pureadmin.qub.ac.uk/ws/portalfiles/portal/213540647/Arrays.pdf</x:v>
      </x:c>
      <x:c r="AT18" s="20" t="str">
        <x:v>Lines 675–684: Table 4 Fmax/%SE/%GF at 120 and 180 min; Lines 685–712: increasing time raised %GF and Fmax and reduced %SE.</x:v>
      </x:c>
    </x:row>
    <x:row r="19">
      <x:c r="A19" s="20" t="str">
        <x:v>TEK2020_HFF180_F10</x:v>
      </x:c>
      <x:c r="B19" s="20" t="str">
        <x:v>TEK2020_MTX</x:v>
      </x:c>
      <x:c r="C19" s="20" t="str">
        <x:v>hydrogel_film_crosslink_time</x:v>
      </x:c>
      <x:c r="D19" s="20" t="str">
        <x:v>F10</x:v>
      </x:c>
      <x:c r="E19" s="20" t="str">
        <x:v>model_ready</x:v>
      </x:c>
      <x:c r="F19" s="22" t="n">
        <x:v>15</x:v>
      </x:c>
      <x:c r="G19" s="22" t="n">
        <x:v>10</x:v>
      </x:c>
      <x:c r="H19" s="22" t="n">
        <x:v>1.5</x:v>
      </x:c>
      <x:c r="I19" s="22"/>
      <x:c r="J19" s="22"/>
      <x:c r="K19" s="22"/>
      <x:c r="L19" s="22"/>
      <x:c r="M19" s="22"/>
      <x:c r="N19" s="22" t="n">
        <x:v>73.5</x:v>
      </x:c>
      <x:c r="O19" s="22" t="n">
        <x:v>130</x:v>
      </x:c>
      <x:c r="P19" s="22" t="n">
        <x:v>180</x:v>
      </x:c>
      <x:c r="Q19" s="22" t="str">
        <x:v>film dried; details in source</x:v>
      </x:c>
      <x:c r="R19" s="22"/>
      <x:c r="S19" s="22"/>
      <x:c r="T19" s="22"/>
      <x:c r="U19" s="22"/>
      <x:c r="V19" s="22"/>
      <x:c r="W19" s="22"/>
      <x:c r="X19" s="22"/>
      <x:c r="Y19" s="22"/>
      <x:c r="Z19" s="22"/>
      <x:c r="AA19" s="22"/>
      <x:c r="AB19" s="22" t="n">
        <x:v>43.4</x:v>
      </x:c>
      <x:c r="AC19" s="22" t="n">
        <x:v>3.3</x:v>
      </x:c>
      <x:c r="AD19" s="22" t="n">
        <x:v>340.6</x:v>
      </x:c>
      <x:c r="AE19" s="22" t="n">
        <x:v>14.9</x:v>
      </x:c>
      <x:c r="AF19" s="22" t="n">
        <x:v>89.6</x:v>
      </x:c>
      <x:c r="AG19" s="22" t="n">
        <x:v>1.3</x:v>
      </x:c>
      <x:c r="AH19" s="22"/>
      <x:c r="AI19" s="22"/>
      <x:c r="AJ19" s="22"/>
      <x:c r="AK19" s="22"/>
      <x:c r="AL19" s="22"/>
      <x:c r="AM19" s="22" t="str">
        <x:v>methotrexate</x:v>
      </x:c>
      <x:c r="AN19" s="22" t="str">
        <x:v>film permeability screen / later reservoir</x:v>
      </x:c>
      <x:c r="AO19" s="22" t="str">
        <x:v>HFF only; not final MN reservoir</x:v>
      </x:c>
      <x:c r="AP19" s="22"/>
      <x:c r="AQ19" s="20"/>
      <x:c r="AR19" s="20" t="str">
        <x:v>Crosslinking time optimization for selected HFFs.</x:v>
      </x:c>
      <x:c r="AS19" s="20" t="str">
        <x:v>https://pureadmin.qub.ac.uk/ws/portalfiles/portal/213540647/Arrays.pdf</x:v>
      </x:c>
      <x:c r="AT19" s="20" t="str">
        <x:v>Lines 675–684: Table 4 Fmax/%SE/%GF at 120 and 180 min; Lines 685–712: increasing time raised %GF and Fmax and reduced %SE.</x:v>
      </x:c>
    </x:row>
    <x:row r="20">
      <x:c r="A20" s="20" t="str">
        <x:v>TEK2020_HFMN_F8</x:v>
      </x:c>
      <x:c r="B20" s="20" t="str">
        <x:v>TEK2020_MTX</x:v>
      </x:c>
      <x:c r="C20" s="20" t="str">
        <x:v>MN_final</x:v>
      </x:c>
      <x:c r="D20" s="20" t="str">
        <x:v>HFMN-F8</x:v>
      </x:c>
      <x:c r="E20" s="20" t="str">
        <x:v>model_ready</x:v>
      </x:c>
      <x:c r="F20" s="22" t="n">
        <x:v>15</x:v>
      </x:c>
      <x:c r="G20" s="22" t="n">
        <x:v>5</x:v>
      </x:c>
      <x:c r="H20" s="22" t="n">
        <x:v>1.5</x:v>
      </x:c>
      <x:c r="I20" s="22"/>
      <x:c r="J20" s="22"/>
      <x:c r="K20" s="22"/>
      <x:c r="L20" s="22"/>
      <x:c r="M20" s="22"/>
      <x:c r="N20" s="22" t="n">
        <x:v>78.5</x:v>
      </x:c>
      <x:c r="O20" s="22" t="n">
        <x:v>130</x:v>
      </x:c>
      <x:c r="P20" s="22" t="n">
        <x:v>180</x:v>
      </x:c>
      <x:c r="Q20" s="22" t="str">
        <x:v>HFMN prepared from selected polymeric blend; stored dry</x:v>
      </x:c>
      <x:c r="R20" s="22"/>
      <x:c r="S20" s="22"/>
      <x:c r="T20" s="22" t="str">
        <x:v>11x11</x:v>
      </x:c>
      <x:c r="U20" s="22" t="n">
        <x:v>121</x:v>
      </x:c>
      <x:c r="V20" s="22" t="n">
        <x:v>729.5</x:v>
      </x:c>
      <x:c r="W20" s="22" t="n">
        <x:v>300</x:v>
      </x:c>
      <x:c r="X20" s="22" t="n">
        <x:v>300</x:v>
      </x:c>
      <x:c r="Y20" s="22" t="n">
        <x:v>0.5</x:v>
      </x:c>
      <x:c r="Z20" s="22" t="n">
        <x:v>18.2</x:v>
      </x:c>
      <x:c r="AA20" s="22"/>
      <x:c r="AB20" s="22"/>
      <x:c r="AC20" s="22"/>
      <x:c r="AD20" s="22"/>
      <x:c r="AE20" s="22"/>
      <x:c r="AF20" s="22"/>
      <x:c r="AG20" s="22"/>
      <x:c r="AH20" s="22" t="n">
        <x:v>14.73</x:v>
      </x:c>
      <x:c r="AI20" s="22" t="n">
        <x:v>1.91</x:v>
      </x:c>
      <x:c r="AJ20" s="22" t="n">
        <x:v>491.6</x:v>
      </x:c>
      <x:c r="AK20" s="22" t="n">
        <x:v>18.2</x:v>
      </x:c>
      <x:c r="AL20" s="22" t="n">
        <x:v>67.7</x:v>
      </x:c>
      <x:c r="AM20" s="22" t="str">
        <x:v>methotrexate</x:v>
      </x:c>
      <x:c r="AN20" s="22" t="str">
        <x:v>MTX-RV3 reservoir</x:v>
      </x:c>
      <x:c r="AO20" s="22" t="str">
        <x:v>HPMC 7.5% + glycerol 5% + MTX 3.3% + water 83.2%</x:v>
      </x:c>
      <x:c r="AP20" s="22" t="str">
        <x:v>150.3 ± 5.3 µg/mg</x:v>
      </x:c>
      <x:c r="AQ20" s="20" t="str">
        <x:v>ex vivo/in vivo delivery studied; detailed extraction pending</x:v>
      </x:c>
      <x:c r="AR20" s="20" t="str">
        <x:v>Finalized HFMN combined with MTX reservoir. Common formulation data for your model.</x:v>
      </x:c>
      <x:c r="AS20" s="20" t="str">
        <x:v>https://pureadmin.qub.ac.uk/ws/portalfiles/portal/213540647/Arrays.pdf</x:v>
      </x:c>
      <x:c r="AT20" s="20" t="str">
        <x:v>Lines 806–816: 11x11 arrays, dimensions and weight. Lines 825–828: height reduction. Lines 841–845: insertion depth. Lines 867–879: MTX-RV3 content.</x:v>
      </x:c>
    </x:row>
    <x:row r="21">
      <x:c r="A21" s="20" t="str">
        <x:v>TEK2020_HFMN_F10</x:v>
      </x:c>
      <x:c r="B21" s="20" t="str">
        <x:v>TEK2020_MTX</x:v>
      </x:c>
      <x:c r="C21" s="20" t="str">
        <x:v>MN_final</x:v>
      </x:c>
      <x:c r="D21" s="20" t="str">
        <x:v>HFMN-F10</x:v>
      </x:c>
      <x:c r="E21" s="20" t="str">
        <x:v>model_ready</x:v>
      </x:c>
      <x:c r="F21" s="22" t="n">
        <x:v>15</x:v>
      </x:c>
      <x:c r="G21" s="22" t="n">
        <x:v>10</x:v>
      </x:c>
      <x:c r="H21" s="22" t="n">
        <x:v>1.5</x:v>
      </x:c>
      <x:c r="I21" s="22"/>
      <x:c r="J21" s="22"/>
      <x:c r="K21" s="22"/>
      <x:c r="L21" s="22"/>
      <x:c r="M21" s="22"/>
      <x:c r="N21" s="22" t="n">
        <x:v>73.5</x:v>
      </x:c>
      <x:c r="O21" s="22" t="n">
        <x:v>130</x:v>
      </x:c>
      <x:c r="P21" s="22" t="n">
        <x:v>180</x:v>
      </x:c>
      <x:c r="Q21" s="22" t="str">
        <x:v>HFMN prepared from selected polymeric blend; stored dry</x:v>
      </x:c>
      <x:c r="R21" s="22"/>
      <x:c r="S21" s="22"/>
      <x:c r="T21" s="22" t="str">
        <x:v>11x11</x:v>
      </x:c>
      <x:c r="U21" s="22" t="n">
        <x:v>121</x:v>
      </x:c>
      <x:c r="V21" s="22" t="n">
        <x:v>729.5</x:v>
      </x:c>
      <x:c r="W21" s="22" t="n">
        <x:v>300</x:v>
      </x:c>
      <x:c r="X21" s="22" t="n">
        <x:v>300</x:v>
      </x:c>
      <x:c r="Y21" s="22" t="n">
        <x:v>0.5</x:v>
      </x:c>
      <x:c r="Z21" s="22" t="n">
        <x:v>20.2</x:v>
      </x:c>
      <x:c r="AA21" s="22"/>
      <x:c r="AB21" s="22"/>
      <x:c r="AC21" s="22"/>
      <x:c r="AD21" s="22"/>
      <x:c r="AE21" s="22"/>
      <x:c r="AF21" s="22"/>
      <x:c r="AG21" s="22"/>
      <x:c r="AH21" s="22" t="n">
        <x:v>10.22</x:v>
      </x:c>
      <x:c r="AI21" s="22" t="n">
        <x:v>2.58</x:v>
      </x:c>
      <x:c r="AJ21" s="22" t="n">
        <x:v>498.9</x:v>
      </x:c>
      <x:c r="AK21" s="22" t="n">
        <x:v>10.9</x:v>
      </x:c>
      <x:c r="AL21" s="22" t="n">
        <x:v>68.7</x:v>
      </x:c>
      <x:c r="AM21" s="22" t="str">
        <x:v>methotrexate</x:v>
      </x:c>
      <x:c r="AN21" s="22" t="str">
        <x:v>MTX-RV3 reservoir</x:v>
      </x:c>
      <x:c r="AO21" s="22" t="str">
        <x:v>HPMC 7.5% + glycerol 5% + MTX 3.3% + water 83.2%</x:v>
      </x:c>
      <x:c r="AP21" s="22" t="str">
        <x:v>150.3 ± 5.3 µg/mg</x:v>
      </x:c>
      <x:c r="AQ21" s="20" t="str">
        <x:v>ex vivo/in vivo delivery studied; detailed extraction pending</x:v>
      </x:c>
      <x:c r="AR21" s="20" t="str">
        <x:v>Finalized HFMN combined with MTX reservoir. Common formulation data for your model.</x:v>
      </x:c>
      <x:c r="AS21" s="20" t="str">
        <x:v>https://pureadmin.qub.ac.uk/ws/portalfiles/portal/213540647/Arrays.pdf</x:v>
      </x:c>
      <x:c r="AT21" s="20" t="str">
        <x:v>Lines 806–816: 11x11 arrays, dimensions and weight. Lines 825–828: height reduction. Lines 841–845: insertion depth. Lines 867–879: MTX-RV3 content.</x:v>
      </x:c>
    </x:row>
    <x:row r="22">
      <x:c r="A22" s="20" t="str">
        <x:v>LI2025_IBU_H3</x:v>
      </x:c>
      <x:c r="B22" s="20" t="str">
        <x:v>LI2025_IBU</x:v>
      </x:c>
      <x:c r="C22" s="20" t="str">
        <x:v>hydrogel_film_and_MN</x:v>
      </x:c>
      <x:c r="D22" s="20" t="str">
        <x:v>H3</x:v>
      </x:c>
      <x:c r="E22" s="20" t="str">
        <x:v>model_ready</x:v>
      </x:c>
      <x:c r="F22" s="22" t="n">
        <x:v>15</x:v>
      </x:c>
      <x:c r="G22" s="22" t="n">
        <x:v>10</x:v>
      </x:c>
      <x:c r="H22" s="22" t="n">
        <x:v>1.5</x:v>
      </x:c>
      <x:c r="I22" s="22"/>
      <x:c r="J22" s="22"/>
      <x:c r="K22" s="22"/>
      <x:c r="L22" s="22"/>
      <x:c r="M22" s="22"/>
      <x:c r="N22" s="22"/>
      <x:c r="O22" s="22" t="n">
        <x:v>130</x:v>
      </x:c>
      <x:c r="P22" s="22" t="n">
        <x:v>40</x:v>
      </x:c>
      <x:c r="Q22" s="22" t="str">
        <x:v>room temperature 48 h</x:v>
      </x:c>
      <x:c r="R22" s="22" t="str">
        <x:v>3500 rpm 15 min</x:v>
      </x:c>
      <x:c r="S22" s="22"/>
      <x:c r="T22" s="22"/>
      <x:c r="U22" s="22"/>
      <x:c r="V22" s="22"/>
      <x:c r="W22" s="22"/>
      <x:c r="X22" s="22"/>
      <x:c r="Y22" s="22"/>
      <x:c r="Z22" s="22"/>
      <x:c r="AA22" s="22"/>
      <x:c r="AB22" s="22"/>
      <x:c r="AC22" s="22"/>
      <x:c r="AD22" s="22" t="n">
        <x:v>448</x:v>
      </x:c>
      <x:c r="AE22" s="22"/>
      <x:c r="AF22" s="22"/>
      <x:c r="AG22" s="22"/>
      <x:c r="AH22" s="22"/>
      <x:c r="AI22" s="22"/>
      <x:c r="AJ22" s="22" t="n">
        <x:v>426</x:v>
      </x:c>
      <x:c r="AK22" s="22"/>
      <x:c r="AL22" s="22"/>
      <x:c r="AM22" s="22" t="str">
        <x:v>ibuprofen sodium</x:v>
      </x:c>
      <x:c r="AN22" s="22" t="str">
        <x:v>lyophilised / effervescent / film reservoirs</x:v>
      </x:c>
      <x:c r="AO22" s="22" t="str">
        <x:v>H3/H4 used for reservoir-mediated IBU studies</x:v>
      </x:c>
      <x:c r="AP22" s="22" t="str">
        <x:v>not extracted</x:v>
      </x:c>
      <x:c r="AQ22" s="20" t="str">
        <x:v>24h IBU permeation across swollen film: ~61% (1.85 mg); MN insertion depth ≈ 426 µm</x:v>
      </x:c>
      <x:c r="AR22" s="20" t="str">
        <x:v>Same PVA/PVP/CA composition; crosslinking time changed swelling and diffusion.</x:v>
      </x:c>
      <x:c r="AS22" s="20" t="str">
        <x:v>https://link.springer.com/article/10.1007/s13346-024-01737-0</x:v>
      </x:c>
      <x:c r="AT22" s="20" t="str">
        <x:v>Lines 131–134 and 155: fabrication/crosslinking. Lines 263–269: swelling and 24h diffusion. Lines 274–279: mechanical/insertion and insertion depth.</x:v>
      </x:c>
    </x:row>
    <x:row r="23">
      <x:c r="A23" s="20" t="str">
        <x:v>LI2025_IBU_H4</x:v>
      </x:c>
      <x:c r="B23" s="20" t="str">
        <x:v>LI2025_IBU</x:v>
      </x:c>
      <x:c r="C23" s="20" t="str">
        <x:v>hydrogel_film_and_MN</x:v>
      </x:c>
      <x:c r="D23" s="20" t="str">
        <x:v>H4</x:v>
      </x:c>
      <x:c r="E23" s="20" t="str">
        <x:v>model_ready</x:v>
      </x:c>
      <x:c r="F23" s="22" t="n">
        <x:v>15</x:v>
      </x:c>
      <x:c r="G23" s="22" t="n">
        <x:v>10</x:v>
      </x:c>
      <x:c r="H23" s="22" t="n">
        <x:v>1.5</x:v>
      </x:c>
      <x:c r="I23" s="22"/>
      <x:c r="J23" s="22"/>
      <x:c r="K23" s="22"/>
      <x:c r="L23" s="22"/>
      <x:c r="M23" s="22"/>
      <x:c r="N23" s="22"/>
      <x:c r="O23" s="22" t="n">
        <x:v>130</x:v>
      </x:c>
      <x:c r="P23" s="22" t="n">
        <x:v>180</x:v>
      </x:c>
      <x:c r="Q23" s="22" t="str">
        <x:v>room temperature 48 h</x:v>
      </x:c>
      <x:c r="R23" s="22" t="str">
        <x:v>3500 rpm 15 min</x:v>
      </x:c>
      <x:c r="S23" s="22"/>
      <x:c r="T23" s="22"/>
      <x:c r="U23" s="22"/>
      <x:c r="V23" s="22"/>
      <x:c r="W23" s="22"/>
      <x:c r="X23" s="22"/>
      <x:c r="Y23" s="22"/>
      <x:c r="Z23" s="22"/>
      <x:c r="AA23" s="22"/>
      <x:c r="AB23" s="22"/>
      <x:c r="AC23" s="22"/>
      <x:c r="AD23" s="22" t="n">
        <x:v>366</x:v>
      </x:c>
      <x:c r="AE23" s="22"/>
      <x:c r="AF23" s="22"/>
      <x:c r="AG23" s="22"/>
      <x:c r="AH23" s="22"/>
      <x:c r="AI23" s="22"/>
      <x:c r="AJ23" s="22" t="n">
        <x:v>413</x:v>
      </x:c>
      <x:c r="AK23" s="22"/>
      <x:c r="AL23" s="22"/>
      <x:c r="AM23" s="22" t="str">
        <x:v>ibuprofen sodium</x:v>
      </x:c>
      <x:c r="AN23" s="22" t="str">
        <x:v>lyophilised / effervescent / film reservoirs</x:v>
      </x:c>
      <x:c r="AO23" s="22" t="str">
        <x:v>H3/H4 used for reservoir-mediated IBU studies</x:v>
      </x:c>
      <x:c r="AP23" s="22" t="str">
        <x:v>not extracted</x:v>
      </x:c>
      <x:c r="AQ23" s="20" t="str">
        <x:v>24h IBU permeation across swollen film: ~55% (1.64 mg); MN insertion depth ≈ 413 µm</x:v>
      </x:c>
      <x:c r="AR23" s="20" t="str">
        <x:v>Same PVA/PVP/CA composition; crosslinking time changed swelling and diffusion.</x:v>
      </x:c>
      <x:c r="AS23" s="20" t="str">
        <x:v>https://link.springer.com/article/10.1007/s13346-024-01737-0</x:v>
      </x:c>
      <x:c r="AT23" s="20" t="str">
        <x:v>Lines 131–134 and 155: fabrication/crosslinking. Lines 263–269: swelling and 24h diffusion. Lines 274–279: mechanical/insertion and insertion depth.</x:v>
      </x:c>
    </x:row>
    <x:row r="24">
      <x:c r="A24" s="20" t="str">
        <x:v>HIM2023_001</x:v>
      </x:c>
      <x:c r="B24" s="20" t="str">
        <x:v>HIM2023_LOW_TEMP</x:v>
      </x:c>
      <x:c r="C24" s="20" t="str">
        <x:v>study_level</x:v>
      </x:c>
      <x:c r="D24" s="20" t="str">
        <x:v>low-temp PVA/PVP/CA HF-MAP</x:v>
      </x:c>
      <x:c r="E24" s="20" t="str">
        <x:v>study_level</x:v>
      </x:c>
      <x:c r="F24" s="22"/>
      <x:c r="G24" s="22"/>
      <x:c r="H24" s="22"/>
      <x:c r="I24" s="22"/>
      <x:c r="J24" s="22"/>
      <x:c r="K24" s="22"/>
      <x:c r="L24" s="22"/>
      <x:c r="M24" s="22"/>
      <x:c r="N24" s="22"/>
      <x:c r="O24" s="22" t="n">
        <x:v>80</x:v>
      </x:c>
      <x:c r="P24" s="22"/>
      <x:c r="Q24" s="22"/>
      <x:c r="R24" s="22"/>
      <x:c r="S24" s="22" t="str">
        <x:v>pyramidal</x:v>
      </x:c>
      <x:c r="T24" s="22" t="str">
        <x:v>14x14</x:v>
      </x:c>
      <x:c r="U24" s="22" t="n">
        <x:v>196</x:v>
      </x:c>
      <x:c r="V24" s="22" t="n">
        <x:v>600</x:v>
      </x:c>
      <x:c r="W24" s="22" t="n">
        <x:v>450</x:v>
      </x:c>
      <x:c r="X24" s="22" t="n">
        <x:v>350</x:v>
      </x:c>
      <x:c r="Y24" s="22"/>
      <x:c r="Z24" s="22"/>
      <x:c r="AA24" s="22"/>
      <x:c r="AB24" s="22"/>
      <x:c r="AC24" s="22"/>
      <x:c r="AD24" s="22"/>
      <x:c r="AE24" s="22"/>
      <x:c r="AF24" s="22"/>
      <x:c r="AG24" s="22"/>
      <x:c r="AH24" s="22"/>
      <x:c r="AI24" s="22"/>
      <x:c r="AJ24" s="22"/>
      <x:c r="AK24" s="22"/>
      <x:c r="AL24" s="22"/>
      <x:c r="AM24" s="22" t="str">
        <x:v>theophylline; fluorescein sodium; cyanocobalamin</x:v>
      </x:c>
      <x:c r="AN24" s="22" t="str">
        <x:v>drug interaction / diffusion studies</x:v>
      </x:c>
      <x:c r="AO24" s="22" t="str">
        <x:v>not extracted</x:v>
      </x:c>
      <x:c r="AP24" s="22" t="str">
        <x:v>diffusion coefficients: theophylline 16.17e-6 cm²/s; FLS 2.32e-6 cm²/s; cyanocobalamin 7.31e-6 cm²/s</x:v>
      </x:c>
      <x:c r="AQ24" s="20" t="str">
        <x:v>low-temp composite had higher swelling than same polymer heated at 130°C</x:v>
      </x:c>
      <x:c r="AR24" s="20" t="str">
        <x:v>Need full paper extraction for exact composition and numeric swelling/GF.</x:v>
      </x:c>
      <x:c r="AS24" s="20" t="str">
        <x:v>https://www.sciencedirect.com/science/article/pii/S0014305723000198</x:v>
      </x:c>
      <x:c r="AT24" s="20" t="str">
        <x:v>ScienceDirect abstract/highlights: PVA/PVP/CA crosslinked at 80°C; 14x14 pyramidal 600 µm height, 450 µm base, 350 µm spacing; diffusion coefficients reported.</x:v>
      </x:c>
    </x:row>
    <x:row r="25">
      <x:c r="A25" s="20" t="str">
        <x:v>ZHA2023_001</x:v>
      </x:c>
      <x:c r="B25" s="20" t="str">
        <x:v>ZHA2023_TET</x:v>
      </x:c>
      <x:c r="C25" s="20" t="str">
        <x:v>study_level</x:v>
      </x:c>
      <x:c r="D25" s="20" t="str">
        <x:v>PVA/PVP HF-MAP</x:v>
      </x:c>
      <x:c r="E25" s="20" t="str">
        <x:v>study_level</x:v>
      </x:c>
      <x:c r="F25" s="22"/>
      <x:c r="G25" s="22"/>
      <x:c r="H25" s="22"/>
      <x:c r="I25" s="22"/>
      <x:c r="J25" s="22"/>
      <x:c r="K25" s="22"/>
      <x:c r="L25" s="22"/>
      <x:c r="M25" s="22"/>
      <x:c r="N25" s="22"/>
      <x:c r="O25" s="22"/>
      <x:c r="P25" s="22"/>
      <x:c r="Q25" s="22"/>
      <x:c r="R25" s="22"/>
      <x:c r="S25" s="22"/>
      <x:c r="T25" s="22"/>
      <x:c r="U25" s="22"/>
      <x:c r="V25" s="22"/>
      <x:c r="W25" s="22"/>
      <x:c r="X25" s="22"/>
      <x:c r="Y25" s="22"/>
      <x:c r="Z25" s="22"/>
      <x:c r="AA25" s="22"/>
      <x:c r="AB25" s="22"/>
      <x:c r="AC25" s="22"/>
      <x:c r="AD25" s="22" t="str">
        <x:v>&gt;600</x:v>
      </x:c>
      <x:c r="AE25" s="22"/>
      <x:c r="AF25" s="22"/>
      <x:c r="AG25" s="22"/>
      <x:c r="AH25" s="22"/>
      <x:c r="AI25" s="22"/>
      <x:c r="AJ25" s="22"/>
      <x:c r="AK25" s="22"/>
      <x:c r="AL25" s="22"/>
      <x:c r="AM25" s="22" t="str">
        <x:v>tetracycline hydrochloride</x:v>
      </x:c>
      <x:c r="AN25" s="22" t="str">
        <x:v>drug reservoir</x:v>
      </x:c>
      <x:c r="AO25" s="22" t="str">
        <x:v>not extracted</x:v>
      </x:c>
      <x:c r="AP25" s="22" t="str">
        <x:v>not extracted</x:v>
      </x:c>
      <x:c r="AQ25" s="20" t="str">
        <x:v>HF-MAP transdermal bioavailability 19.1%; Cmax 7.40 ± 4.74 µg/mL at 24h; sustained release vs oral/IV</x:v>
      </x:c>
      <x:c r="AR25" s="20" t="str">
        <x:v>Useful antibiotic delivery example; exact composition not yet extracted.</x:v>
      </x:c>
      <x:c r="AS25" s="20" t="str">
        <x:v>https://www.sciencedirect.com/science/article/pii/S0168365923001438</x:v>
      </x:c>
      <x:c r="AT25" s="20" t="str">
        <x:v>Lines 46–49: PVA/PVP MAP &gt;600% swelling, in vivo PK and bioavailability.</x:v>
      </x:c>
    </x:row>
    <x:row r="26">
      <x:c r="A26" s="20" t="str">
        <x:v>ANJ2021_001</x:v>
      </x:c>
      <x:c r="B26" s="20" t="str">
        <x:v>ANJ2021_TB</x:v>
      </x:c>
      <x:c r="C26" s="20" t="str">
        <x:v>study_level</x:v>
      </x:c>
      <x:c r="D26" s="20" t="str">
        <x:v>multiple HFMN systems</x:v>
      </x:c>
      <x:c r="E26" s="20" t="str">
        <x:v>study_level</x:v>
      </x:c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2"/>
      <x:c r="T26" s="22"/>
      <x:c r="U26" s="22"/>
      <x:c r="V26" s="22"/>
      <x:c r="W26" s="22"/>
      <x:c r="X26" s="22"/>
      <x:c r="Y26" s="22"/>
      <x:c r="Z26" s="22"/>
      <x:c r="AA26" s="22"/>
      <x:c r="AB26" s="22"/>
      <x:c r="AC26" s="22"/>
      <x:c r="AD26" s="22"/>
      <x:c r="AE26" s="22"/>
      <x:c r="AF26" s="22"/>
      <x:c r="AG26" s="22"/>
      <x:c r="AH26" s="22"/>
      <x:c r="AI26" s="22"/>
      <x:c r="AJ26" s="22"/>
      <x:c r="AK26" s="22"/>
      <x:c r="AL26" s="22"/>
      <x:c r="AM26" s="22" t="str">
        <x:v>rifampicin; isoniazid; pyrazinamide; ethambutol</x:v>
      </x:c>
      <x:c r="AN26" s="22" t="str">
        <x:v>drug reservoirs</x:v>
      </x:c>
      <x:c r="AO26" s="22" t="str">
        <x:v>three reservoir types; exact formulations not extracted</x:v>
      </x:c>
      <x:c r="AP26" s="22" t="str">
        <x:v>not extracted</x:v>
      </x:c>
      <x:c r="AQ26" s="20" t="str">
        <x:v>average delivered fractions ≈75% RIF, 79% INH, 20% PYR, 47% ETH</x:v>
      </x:c>
      <x:c r="AR26" s="20" t="str">
        <x:v>TB regimen delivery example; need full PDF for formulation-level dataset.</x:v>
      </x:c>
      <x:c r="AS26" s="20" t="str">
        <x:v>https://doi.org/10.1016/j.ejpb.2020.12.003</x:v>
      </x:c>
      <x:c r="AT26" s="20" t="str">
        <x:v>ResearchGate/PubMed abstract-level text: three hydrogel formulations; delivery percentages reported.</x:v>
      </x:c>
    </x:row>
  </x:sheetData>
  <x:conditionalFormatting sqref="E2:E26">
    <x:cfRule type="expression" dxfId="0" priority="1">
      <x:formula>E2="model_ready"</x:formula>
    </x:cfRule>
    <x:cfRule type="expression" dxfId="1" priority="2">
      <x:formula>E2="study_level"</x:formula>
    </x:cfRule>
    <x:cfRule type="expression" dxfId="2" priority="3">
      <x:formula>E2="screening_status_only"</x:formula>
    </x:cfRule>
  </x:conditionalFormatting>
  <x:dataValidations count="1">
    <x:dataValidation type="list" sqref="E2:E26">
      <x:formula1>"model_ready,screening_status_only,study_level"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9be77ef5db41a6"/>
  </x:tableParts>
</x:worksheet>
</file>

<file path=xl/worksheets/sheet4.xml><?xml version="1.0" encoding="utf-8"?>
<x:worksheet xmlns:x="http://schemas.openxmlformats.org/spreadsheetml/2006/main">
  <x:sheetFormatPr defaultRowHeight="15"/>
  <x:sheetData>
    <x:row r="1" ht="36" customHeight="1">
      <x:c r="A1" s="6" t="str">
        <x:v>column</x:v>
      </x:c>
      <x:c r="B1" s="6" t="str">
        <x:v>meaning</x:v>
      </x:c>
      <x:c r="C1" s="6" t="str">
        <x:v>notes</x:v>
      </x:c>
    </x:row>
    <x:row r="2">
      <x:c r="A2" t="str">
        <x:v>data_quality</x:v>
      </x:c>
      <x:c r="B2" t="str">
        <x:v>model_ready / screening_status_only / study_level</x:v>
      </x:c>
      <x:c r="C2" t="str">
        <x:v>Use only model_ready rows for the first simple ML model.</x:v>
      </x:c>
    </x:row>
    <x:row r="3">
      <x:c r="A3" t="str">
        <x:v>row_type</x:v>
      </x:c>
      <x:c r="B3" t="str">
        <x:v>MN_system / hydrogel_film_screen / hydrogel_film_crosslink_time / MN_final / study_level</x:v>
      </x:c>
      <x:c r="C3" t="str">
        <x:v>Hydrogel films can be used to model swelling/GF; MN_final rows include geometry/insertion.</x:v>
      </x:c>
    </x:row>
    <x:row r="4">
      <x:c r="A4" t="str">
        <x:v>PVA_wt_pct</x:v>
      </x:c>
      <x:c r="B4" t="str">
        <x:v>PVA concentration in aqueous blend, % w/w</x:v>
      </x:c>
      <x:c r="C4" t="str">
        <x:v>Blank means not extracted or not applicable.</x:v>
      </x:c>
    </x:row>
    <x:row r="5">
      <x:c r="A5" t="str">
        <x:v>PVP_wt_pct</x:v>
      </x:c>
      <x:c r="B5" t="str">
        <x:v>PVP concentration in aqueous blend, % w/w</x:v>
      </x:c>
      <x:c r="C5" t="str">
        <x:v>For PVP K29/32 etc., polymer grade is in notes/source.</x:v>
      </x:c>
    </x:row>
    <x:row r="6">
      <x:c r="A6" t="str">
        <x:v>citric_acid_wt_pct</x:v>
      </x:c>
      <x:c r="B6" t="str">
        <x:v>Citric acid concentration, % w/w</x:v>
      </x:c>
      <x:c r="C6" t="str">
        <x:v>Crosslinker for PVA/PVP systems.</x:v>
      </x:c>
    </x:row>
    <x:row r="7">
      <x:c r="A7" t="str">
        <x:v>PMVE_MA_or_Gantrez_wt_pct</x:v>
      </x:c>
      <x:c r="B7" t="str">
        <x:v>PMVE/MA or Gantrez concentration, % w/w</x:v>
      </x:c>
      <x:c r="C7" t="str">
        <x:v>Used for older Gantrez-based HFMNs.</x:v>
      </x:c>
    </x:row>
    <x:row r="8">
      <x:c r="A8" t="str">
        <x:v>PEG10000_wt_pct</x:v>
      </x:c>
      <x:c r="B8" t="str">
        <x:v>PEG 10,000 concentration, % w/w</x:v>
      </x:c>
      <x:c r="C8" t="str">
        <x:v>Co-polymer/crosslinking component in Gantrez or formulation screens.</x:v>
      </x:c>
    </x:row>
    <x:row r="9">
      <x:c r="A9" t="str">
        <x:v>crosslink_temp_C</x:v>
      </x:c>
      <x:c r="B9" t="str">
        <x:v>Thermal crosslinking temperature, °C</x:v>
      </x:c>
      <x:c r="C9" t="str">
        <x:v>Use with crosslink_time_min as a key AI input.</x:v>
      </x:c>
    </x:row>
    <x:row r="10">
      <x:c r="A10" t="str">
        <x:v>crosslink_time_min</x:v>
      </x:c>
      <x:c r="B10" t="str">
        <x:v>Thermal crosslinking time, minutes</x:v>
      </x:c>
      <x:c r="C10" t="str">
        <x:v>24 h = 1440 min.</x:v>
      </x:c>
    </x:row>
    <x:row r="11">
      <x:c r="A11" t="str">
        <x:v>swelling_pct_mean</x:v>
      </x:c>
      <x:c r="B11" t="str">
        <x:v>Mean swelling percentage</x:v>
      </x:c>
      <x:c r="C11" t="str">
        <x:v>Potential first ML target.</x:v>
      </x:c>
    </x:row>
    <x:row r="12">
      <x:c r="A12" t="str">
        <x:v>gel_fraction_pct_mean</x:v>
      </x:c>
      <x:c r="B12" t="str">
        <x:v>Mean gel fraction percentage</x:v>
      </x:c>
      <x:c r="C12" t="str">
        <x:v>Potential first ML target.</x:v>
      </x:c>
    </x:row>
    <x:row r="13">
      <x:c r="A13" t="str">
        <x:v>Fmax_N_per_cm2_mean</x:v>
      </x:c>
      <x:c r="B13" t="str">
        <x:v>Film mechanical strength metric</x:v>
      </x:c>
      <x:c r="C13" t="str">
        <x:v>From HFF bend/break testing; not single-needle failure force.</x:v>
      </x:c>
    </x:row>
    <x:row r="14">
      <x:c r="A14" t="str">
        <x:v>height_reduction_pct_mean</x:v>
      </x:c>
      <x:c r="B14" t="str">
        <x:v>Percent needle height reduction after compression</x:v>
      </x:c>
      <x:c r="C14" t="str">
        <x:v>Lower generally means better mechanical resistance.</x:v>
      </x:c>
    </x:row>
    <x:row r="15">
      <x:c r="A15" t="str">
        <x:v>insertion_depth_um_mean</x:v>
      </x:c>
      <x:c r="B15" t="str">
        <x:v>Mean insertion depth, µm</x:v>
      </x:c>
      <x:c r="C15" t="str">
        <x:v>Measured in neonatal porcine skin or Parafilm depending on row/source.</x:v>
      </x:c>
    </x:row>
    <x:row r="16">
      <x:c r="A16" t="str">
        <x:v>release_or_permeation_result</x:v>
      </x:c>
      <x:c r="B16" t="str">
        <x:v>Text summary of drug delivery result</x:v>
      </x:c>
      <x:c r="C16" t="str">
        <x:v>Needs parsing into numeric columns if you want release modeling.</x:v>
      </x:c>
    </x:row>
    <x:row r="17">
      <x:c r="A17" t="str">
        <x:v>source_evidence</x:v>
      </x:c>
      <x:c r="B17" t="str">
        <x:v>Where the data came from</x:v>
      </x:c>
      <x:c r="C17" t="str">
        <x:v>Use to verify before publication.</x:v>
      </x:c>
    </x:row>
  </x:sheetData>
  <x:pageMargins left="0.7" right="0.7" top="0.75" bottom="0.75" header="0.3" footer="0.3"/>
  <x:tableParts count="1">
    <x:tablePart xmlns:r="http://schemas.openxmlformats.org/officeDocument/2006/relationships" r:id="Rc854f49075df48a2"/>
  </x:tableParts>
</x:worksheet>
</file>